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>
    <definedName hidden="1" localSheetId="1" name="_xlnm._FilterDatabase">'Identificación Casos'!$A$1:$O$3</definedName>
  </definedNames>
  <calcPr/>
  <extLst>
    <ext uri="GoogleSheetsCustomDataVersion2">
      <go:sheetsCustomData xmlns:go="http://customooxmlschemas.google.com/" r:id="rId8" roundtripDataChecksum="1N3iHhKqnwu23hdLXnGb6aS5P/lXOg7uTGfpYNzALzM="/>
    </ext>
  </extLst>
</workbook>
</file>

<file path=xl/sharedStrings.xml><?xml version="1.0" encoding="utf-8"?>
<sst xmlns="http://schemas.openxmlformats.org/spreadsheetml/2006/main" count="1665" uniqueCount="666">
  <si>
    <t>Funcional</t>
  </si>
  <si>
    <t>OK</t>
  </si>
  <si>
    <t>Baja</t>
  </si>
  <si>
    <t>SI</t>
  </si>
  <si>
    <t>No Funcional</t>
  </si>
  <si>
    <t>NOK</t>
  </si>
  <si>
    <t>Media</t>
  </si>
  <si>
    <t>NO</t>
  </si>
  <si>
    <t>UAT</t>
  </si>
  <si>
    <t>No ejecutado</t>
  </si>
  <si>
    <t>Alta</t>
  </si>
  <si>
    <t xml:space="preserve">Plan de prueba proyecto </t>
  </si>
  <si>
    <t>Código</t>
  </si>
  <si>
    <t>ID</t>
  </si>
  <si>
    <t>Bloqueado</t>
  </si>
  <si>
    <t>End to End</t>
  </si>
  <si>
    <t>Obsoleto</t>
  </si>
  <si>
    <t>Stress</t>
  </si>
  <si>
    <t>Rendimiento</t>
  </si>
  <si>
    <t>Carga</t>
  </si>
  <si>
    <t>Diseñado por</t>
  </si>
  <si>
    <t>Modulo a probar</t>
  </si>
  <si>
    <t>Tipo</t>
  </si>
  <si>
    <t>Nombre de la prueba</t>
  </si>
  <si>
    <t>Paso a paso</t>
  </si>
  <si>
    <t>Pre-condicion</t>
  </si>
  <si>
    <t>Resultado esperado</t>
  </si>
  <si>
    <t>Dato de prueba</t>
  </si>
  <si>
    <t>Responsable ejecución</t>
  </si>
  <si>
    <t>Resultado Obtenido</t>
  </si>
  <si>
    <t>Resultado</t>
  </si>
  <si>
    <t>Candidato a automatizar</t>
  </si>
  <si>
    <t>Observacion</t>
  </si>
  <si>
    <t>Complejidad</t>
  </si>
  <si>
    <t>MTC_010</t>
  </si>
  <si>
    <t>N/A</t>
  </si>
  <si>
    <t>Web Cliente - Login</t>
  </si>
  <si>
    <t>Proyecto Tecnico YA</t>
  </si>
  <si>
    <t>Iniciar sesión correctamente</t>
  </si>
  <si>
    <t>1. Ingresar a la pantalla de Login.
2. Ingresar correo registrado.
3. Ingresar contraseña correcta.
4. Seleccionar Iniciar sesión.</t>
  </si>
  <si>
    <t>Contar con una cuenta registrada y activa.</t>
  </si>
  <si>
    <t>El sistema valida las credenciales y permite ingresar a la cuenta del cliente.</t>
  </si>
  <si>
    <t>Correo y contraseña válidos.</t>
  </si>
  <si>
    <t>x</t>
  </si>
  <si>
    <t>MCT_020</t>
  </si>
  <si>
    <t>Iniciar sesión con contraseña incorrecta</t>
  </si>
  <si>
    <t>1. Ingresar a la pantalla de Login.
2. Ingresar un correo registrado.
3. Ingresar una contraseña incorrecta.
4. Seleccionar Iniciar sesión.</t>
  </si>
  <si>
    <t>El sistema rechaza el acceso y muestra un mensaje indicando que las credenciales no son válidas.</t>
  </si>
  <si>
    <t>Correo válido + contraseña incorrecta.</t>
  </si>
  <si>
    <r>
      <rPr>
        <rFont val="Calibri"/>
        <b/>
        <color theme="1"/>
        <sz val="13.0"/>
      </rPr>
      <t>Integrantes:</t>
    </r>
    <r>
      <rPr>
        <rFont val="Calibri"/>
        <color theme="1"/>
        <sz val="13.0"/>
      </rPr>
      <t xml:space="preserve">
Jose Espinoza
Sebastian Valdes
Jose Herrera
</t>
    </r>
  </si>
  <si>
    <t>MCT_030</t>
  </si>
  <si>
    <t>Validar campos obligatorios del Login</t>
  </si>
  <si>
    <t>1. Ingresar a la pantalla de Login.
2. Dejar correo y/o contraseña vacíos.
3. Seleccionar Iniciar sesión.</t>
  </si>
  <si>
    <t>Pantalla de Login disponible.</t>
  </si>
  <si>
    <t>El sistema impide el inicio de sesión y muestra los mensajes correspondientes a los campos obligatorios.</t>
  </si>
  <si>
    <t>Correo vacío / contraseña vacía.</t>
  </si>
  <si>
    <t>MCT_040</t>
  </si>
  <si>
    <t>Validar formato de correo electrónico</t>
  </si>
  <si>
    <t>1. Ingresar a la pantalla de Login.
2. Ingresar un correo con formato inválido.
3. Ingresar una contraseña.
4. Seleccionar Iniciar sesión.</t>
  </si>
  <si>
    <t>El sistema informa que el formato del correo electrónico no es válido y no permite continuar.</t>
  </si>
  <si>
    <t>correo-invalido</t>
  </si>
  <si>
    <t>MCT_050</t>
  </si>
  <si>
    <t>Web Cliente - Cuenta</t>
  </si>
  <si>
    <t>Crear cuenta correctamente</t>
  </si>
  <si>
    <t>1. Ingresar a Crear cuenta.
2. Completar nombre, correo, teléfono y contraseña.
3. Confirmar contraseña.
4. Aceptar términos y condiciones.
5. Seleccionar Crear cuenta.</t>
  </si>
  <si>
    <t>No existir una cuenta previamente registrada con el correo utilizado.</t>
  </si>
  <si>
    <t>El sistema crea correctamente la cuenta y muestra la confirmación correspondiente.</t>
  </si>
  <si>
    <t>Datos válidos de cliente.</t>
  </si>
  <si>
    <t>MCT_060</t>
  </si>
  <si>
    <t>Crear cuenta con correo ya registrado</t>
  </si>
  <si>
    <t>1. Ingresar a Crear cuenta.
2. Completar los datos solicitados.
3. Utilizar un correo que ya posee una cuenta.
4. Seleccionar Crear cuenta.</t>
  </si>
  <si>
    <t>Existir una cuenta registrada con el correo utilizado.</t>
  </si>
  <si>
    <t>El sistema impide crear la cuenta y muestra un mensaje indicando que el correo ya está registrado.</t>
  </si>
  <si>
    <t>Correo previamente registrado.</t>
  </si>
  <si>
    <t>MCT_070</t>
  </si>
  <si>
    <t>Validar coincidencia de contraseñas</t>
  </si>
  <si>
    <t>1. Ingresar a Crear cuenta.
2. Completar los datos solicitados.
3. Ingresar una contraseña.
4. Ingresar una contraseña diferente en Confirmar contraseña.
5. Seleccionar Crear cuenta.</t>
  </si>
  <si>
    <t>Pantalla de creación de cuenta disponible.</t>
  </si>
  <si>
    <t>El sistema informa que las contraseñas no coinciden y no permite crear la cuenta.</t>
  </si>
  <si>
    <t>Contraseña: Tecnico123
Confirmación: Tecnico12</t>
  </si>
  <si>
    <t>MCT_080</t>
  </si>
  <si>
    <t>Web Cliente - Solicitudes</t>
  </si>
  <si>
    <t>Ingresar al formulario de solicitud</t>
  </si>
  <si>
    <t>1. Ingresar a Web Cliente.
2. Seleccionar la opción para crear una solicitud.
3. Verificar que se muestre el formulario.</t>
  </si>
  <si>
    <t>Usuario en la página principal.</t>
  </si>
  <si>
    <t>El sistema muestra correctamente el formulario de creación de solicitud y sus pasos.</t>
  </si>
  <si>
    <t>MCT_090</t>
  </si>
  <si>
    <t>Seleccionar servicio y tipo de servicio</t>
  </si>
  <si>
    <t>1. Ingresar al formulario de solicitud.
2. Seleccionar una categoría de servicio.
3. Seleccionar el tipo de servicio correspondiente.
4. Continuar al siguiente paso.</t>
  </si>
  <si>
    <t>Formulario de solicitud disponible.</t>
  </si>
  <si>
    <t>El sistema permite seleccionar el servicio y tipo de servicio y avanzar al siguiente paso.</t>
  </si>
  <si>
    <t>Servicio: Electricidad.
Tipo: Instalación.</t>
  </si>
  <si>
    <t>MCT_100</t>
  </si>
  <si>
    <t>Ingresar descripción de la solicitud</t>
  </si>
  <si>
    <t>1. Completar servicio y tipo.
2. Ingresar al paso Detalles.
3. Escribir una descripción del problema o requerimiento.
4. Continuar.</t>
  </si>
  <si>
    <t>Servicio y tipo de servicio seleccionados.</t>
  </si>
  <si>
    <t>La descripción es registrada correctamente y se mantiene al avanzar al siguiente paso.</t>
  </si>
  <si>
    <t>“Necesito instalar una lámpara en el dormitorio.”</t>
  </si>
  <si>
    <t>MCT_110</t>
  </si>
  <si>
    <t>Validar límite de caracteres de la descripción</t>
  </si>
  <si>
    <t>1. Ingresar al paso Detalles.
2. Ingresar una descripción de 500 caracteres.
3. Intentar ingresar más caracteres.</t>
  </si>
  <si>
    <t>El sistema permite hasta 500 caracteres y evita o informa el ingreso de caracteres adicionales.</t>
  </si>
  <si>
    <t>Descripción de 500 y 501 caracteres.</t>
  </si>
  <si>
    <t>MCT_120</t>
  </si>
  <si>
    <t>Agregar fotografías a la solicitud</t>
  </si>
  <si>
    <t>1. Ingresar al paso Detalles.
2. Seleccionar la opción para agregar fotografías.
3. Seleccionar una imagen válida.
4. Continuar con la solicitud.</t>
  </si>
  <si>
    <t>La fotografía se carga correctamente y queda asociada a la solicitud.</t>
  </si>
  <si>
    <t>Imagen JPG o PNG.</t>
  </si>
  <si>
    <t>MCT_130</t>
  </si>
  <si>
    <t>Registrar ubicación de la solicitud</t>
  </si>
  <si>
    <t>1. Ingresar al paso Ubicación.
2. Ingresar región, comuna, calle y número.
3. Verificar la ubicación mostrada en el mapa.
4. Continuar.</t>
  </si>
  <si>
    <t>El sistema registra correctamente la dirección y muestra la ubicación correspondiente en el mapa.</t>
  </si>
  <si>
    <t>Región Metropolitana.
Comuna Maipú.
Dirección válida.</t>
  </si>
  <si>
    <t>MCT_140</t>
  </si>
  <si>
    <t>Completar información de fecha y horario</t>
  </si>
  <si>
    <t>1. Ingresar al paso Información.
2. Seleccionar fecha preferida.
3. Seleccionar horario preferido.
4. Seleccionar nivel de urgencia.
5. Continuar.</t>
  </si>
  <si>
    <t>Solicitud completada hasta el paso Información.</t>
  </si>
  <si>
    <t>El sistema permite ingresar y guardar correctamente la fecha, horario y urgencia seleccionados.</t>
  </si>
  <si>
    <t>Fecha futura.
Horario: Mañana.
Urgencia: Normal.</t>
  </si>
  <si>
    <t>MCT_150</t>
  </si>
  <si>
    <t>Crear y enviar una solicitud completa</t>
  </si>
  <si>
    <t>1. Seleccionar servicio y tipo.
2. Ingresar detalles.
3. Agregar fotografía opcional.
4. Registrar ubicación.
5. Ingresar fecha, horario y urgencia.
6. Revisar la información.
7. Seleccionar “Enviar solicitud”.</t>
  </si>
  <si>
    <t>Contar con información válida para completar todos los pasos.</t>
  </si>
  <si>
    <t>La solicitud se registra correctamente y el sistema muestra la confirmación junto con el número de solicitud.</t>
  </si>
  <si>
    <t>Solicitud completa de servicio técnico.</t>
  </si>
  <si>
    <t>MCT_160</t>
  </si>
  <si>
    <t>Web Cliente - Mis solicitudes</t>
  </si>
  <si>
    <t>Visualizar mis solicitudes</t>
  </si>
  <si>
    <t>1. Iniciar sesión.
2. Ingresar a “Mis solicitudes”.
3. Revisar el listado.</t>
  </si>
  <si>
    <t>Cliente autenticado con al menos una solicitud registrada.</t>
  </si>
  <si>
    <t>El sistema muestra las solicitudes asociadas al cliente.</t>
  </si>
  <si>
    <t>Cliente con solicitudes registradas.</t>
  </si>
  <si>
    <t>MCT_170</t>
  </si>
  <si>
    <t>Visualizar detalle de una solicitud</t>
  </si>
  <si>
    <t>1. Ingresar a “Mis solicitudes”.
2. Seleccionar una solicitud del listado.
3. Revisar el detalle.</t>
  </si>
  <si>
    <t>Cliente autenticado con una solicitud registrada.</t>
  </si>
  <si>
    <t>El sistema muestra correctamente la información de la solicitud seleccionada.</t>
  </si>
  <si>
    <t>Solicitud MTC-XXXX.</t>
  </si>
  <si>
    <t>MCT_180</t>
  </si>
  <si>
    <t>Visualizar estado de una solicitud</t>
  </si>
  <si>
    <t>1. Ingresar a “Mis solicitudes”.
2. Seleccionar una solicitud.
3. Revisar su estado actual.</t>
  </si>
  <si>
    <t>Existir una solicitud registrada.</t>
  </si>
  <si>
    <t>El sistema muestra el estado actual de la solicitud correctamente.</t>
  </si>
  <si>
    <t>Estado: Pendiente.</t>
  </si>
  <si>
    <t>MCT_190</t>
  </si>
  <si>
    <t>Consultar información de la solicitud</t>
  </si>
  <si>
    <t>1. Ingresar al detalle de una solicitud.
2. Revisar servicio, tipo, descripción, ubicación, fecha y horario.</t>
  </si>
  <si>
    <t>Existir una solicitud registrada con información completa.</t>
  </si>
  <si>
    <t>El sistema muestra la información registrada de forma correcta y consistente.</t>
  </si>
  <si>
    <t>Solicitud con datos completos.</t>
  </si>
  <si>
    <t>MCT_200</t>
  </si>
  <si>
    <t>Visualizar solicitud sin solicitudes registradas</t>
  </si>
  <si>
    <t>1. Iniciar sesión con una cuenta nueva.
2. Ingresar a “Mis solicitudes”.</t>
  </si>
  <si>
    <t>Cliente registrado sin solicitudes.</t>
  </si>
  <si>
    <t>El sistema muestra un mensaje indicando que no existen solicitudes registradas y permite crear una nueva solicitud.</t>
  </si>
  <si>
    <t>Cliente sin solicitudes.</t>
  </si>
  <si>
    <t>MCT_210</t>
  </si>
  <si>
    <t>Verificar separación entre solicitudes del cliente</t>
  </si>
  <si>
    <t>1. Iniciar sesión con un cliente que tenga varias solicitudes.
2. Ingresar a “Mis solicitudes”.
3. Revisar el listado.
4. Abrir diferentes solicitudes.</t>
  </si>
  <si>
    <t>Cliente con dos o más solicitudes registradas.</t>
  </si>
  <si>
    <t>El sistema muestra únicamente las solicitudes asociadas al cliente y cada detalle corresponde a la solicitud seleccionada.</t>
  </si>
  <si>
    <t>Cliente con 2 o más solicitudes.</t>
  </si>
  <si>
    <t>MCT_220</t>
  </si>
  <si>
    <t>Crear solicitud y posteriormente consultarla</t>
  </si>
  <si>
    <t>1. Crear una solicitud desde “Solicitudes”.
2. Enviar la solicitud.
3. Ingresar a “Mis solicitudes”.
4. Buscar la solicitud recién creada.
5. Abrir su detalle.</t>
  </si>
  <si>
    <t>Cliente autenticado.</t>
  </si>
  <si>
    <t>La solicitud creada aparece posteriormente en “Mis solicitudes” con su información y estado correspondiente.</t>
  </si>
  <si>
    <t>Nueva solicitud válida.</t>
  </si>
  <si>
    <t>MCT_230</t>
  </si>
  <si>
    <t>Web Gestor - Login</t>
  </si>
  <si>
    <t>1. Ingresar a la pantalla de Login del gestor.
2. Ingresar correo registrado.
3. Ingresar contraseña correcta.
4. Seleccionar Iniciar sesión.</t>
  </si>
  <si>
    <t>Contar con un usuario Gestor activo.</t>
  </si>
  <si>
    <t>El sistema valida las credenciales y permite acceder al Web Gestor.</t>
  </si>
  <si>
    <t>MCT_240</t>
  </si>
  <si>
    <t>1. Ingresar correo registrado.
2. Ingresar contraseña incorrecta.
3. Seleccionar Iniciar sesión.</t>
  </si>
  <si>
    <t>MCT_250</t>
  </si>
  <si>
    <t>1. Ingresar a la pantalla de Login.
2. Dejar uno o ambos campos vacíos.
3. Seleccionar Iniciar sesión.</t>
  </si>
  <si>
    <t>El sistema impide el acceso y muestra los mensajes correspondientes a los campos obligatorios.</t>
  </si>
  <si>
    <t>MCT_260</t>
  </si>
  <si>
    <t>1. Ingresar un correo con formato inválido.
2. Ingresar una contraseña.
3. Seleccionar Iniciar sesión.</t>
  </si>
  <si>
    <t>El sistema informa que el formato del correo no es válido y no permite continuar.</t>
  </si>
  <si>
    <t>gestor@</t>
  </si>
  <si>
    <t>MCT_270</t>
  </si>
  <si>
    <t>Impedir acceso con usuario inactivo</t>
  </si>
  <si>
    <t>1. Ingresar correo de un usuario Gestor inactivo.
2. Ingresar su contraseña correcta.
3. Seleccionar Iniciar sesión.</t>
  </si>
  <si>
    <t>Existir un usuario Gestor desactivado.</t>
  </si>
  <si>
    <t>El sistema impide el acceso e informa que el usuario no se encuentra habilitado.</t>
  </si>
  <si>
    <t>Usuario Gestor inactivo.</t>
  </si>
  <si>
    <t>MCT_280</t>
  </si>
  <si>
    <t>Impedir acceso a usuario sin permisos de Gestor</t>
  </si>
  <si>
    <t>1. Ingresar credenciales de un usuario que no posee permisos para acceder al Web Gestor.
2. Seleccionar Iniciar sesión.</t>
  </si>
  <si>
    <t>Existir un usuario activo sin permisos de Gestor.</t>
  </si>
  <si>
    <t>El sistema impide el acceso al módulo y muestra un mensaje de acceso no autorizado.</t>
  </si>
  <si>
    <t>Usuario Técnico activo.</t>
  </si>
  <si>
    <t>MCT_290</t>
  </si>
  <si>
    <t>Web Gestor - Solicitudes</t>
  </si>
  <si>
    <t>Visualizar solicitudes recibidas</t>
  </si>
  <si>
    <t>1. Iniciar sesión como Gestor.
2. Ingresar a Solicitudes.
3. Revisar el listado.</t>
  </si>
  <si>
    <t>Usuario Gestor activo y solicitudes registradas.</t>
  </si>
  <si>
    <t>El sistema muestra las solicitudes disponibles para gestión.</t>
  </si>
  <si>
    <t>Solicitudes registradas.</t>
  </si>
  <si>
    <t>MCT_300</t>
  </si>
  <si>
    <t>1. Ingresar a Solicitudes.
2. Seleccionar una solicitud.
3. Revisar su información.</t>
  </si>
  <si>
    <t>El sistema muestra correctamente los datos de la solicitud, incluyendo servicio, descripción, ubicación, fecha y estado.</t>
  </si>
  <si>
    <t>Solicitud registrada.</t>
  </si>
  <si>
    <t>MCT_310</t>
  </si>
  <si>
    <t>Filtrar solicitudes</t>
  </si>
  <si>
    <t>1. Ingresar al listado de solicitudes.
2. Seleccionar un filtro disponible.
3. Aplicar el filtro.
4. Revisar los resultados.</t>
  </si>
  <si>
    <t>Existir solicitudes con diferentes estados o características.</t>
  </si>
  <si>
    <t>El sistema muestra únicamente las solicitudes que cumplen con el filtro seleccionado.</t>
  </si>
  <si>
    <t>MCT_320</t>
  </si>
  <si>
    <t>Buscar una solicitud</t>
  </si>
  <si>
    <t>1. Ingresar al listado de solicitudes.
2. Ingresar un número o dato identificador de una solicitud.
3. Ejecutar la búsqueda.</t>
  </si>
  <si>
    <t>El sistema muestra la solicitud correspondiente al criterio ingresado.</t>
  </si>
  <si>
    <t>ID de solicitud válido.</t>
  </si>
  <si>
    <t>MCT_330</t>
  </si>
  <si>
    <t>Asignar técnico a una solicitud</t>
  </si>
  <si>
    <t>1. Ingresar al detalle de una solicitud.
2. Seleccionar la opción de asignar técnico.
3. Seleccionar un técnico disponible.
4. Confirmar la asignación.</t>
  </si>
  <si>
    <t>Existir una solicitud pendiente y al menos un técnico disponible.</t>
  </si>
  <si>
    <t>El sistema registra correctamente la asignación y muestra el técnico asociado a la solicitud.</t>
  </si>
  <si>
    <t>Técnico disponible con especialidad correspondiente.</t>
  </si>
  <si>
    <t>MCT_340</t>
  </si>
  <si>
    <t>Validar asignación según disponibilidad del técnico</t>
  </si>
  <si>
    <t>1. Ingresar al detalle de una solicitud.
2. Seleccionar asignar técnico.
3. Revisar los técnicos disponibles.
4. Intentar seleccionar un técnico que no se encuentre disponible.</t>
  </si>
  <si>
    <t>Existir un técnico no disponible y una solicitud pendiente.</t>
  </si>
  <si>
    <t>El sistema impide o advierte la asignación de un técnico que no se encuentra disponible.</t>
  </si>
  <si>
    <t>Técnico con estado no disponible.</t>
  </si>
  <si>
    <t>MCT_350</t>
  </si>
  <si>
    <t>Cambiar estado de una solicitud</t>
  </si>
  <si>
    <t>1. Ingresar al detalle de una solicitud.
2. Seleccionar una opción de cambio de estado.
3. Seleccionar el nuevo estado.
4. Confirmar el cambio.</t>
  </si>
  <si>
    <t>Existir una solicitud gestionable.</t>
  </si>
  <si>
    <t>El sistema actualiza correctamente el estado de la solicitud y registra el cambio correspondiente.</t>
  </si>
  <si>
    <t>Estado inicial: Pendiente → En proceso.</t>
  </si>
  <si>
    <t>MCT_360</t>
  </si>
  <si>
    <t>Gestionar y asignar una solicitud</t>
  </si>
  <si>
    <t>1. Ingresar al listado de solicitudes.
2. Seleccionar una solicitud pendiente.
3. Revisar sus antecedentes.
4. Seleccionar un técnico disponible.
5. Confirmar la asignación.
6. Verificar el estado y técnico asignado.</t>
  </si>
  <si>
    <t>Solicitud pendiente y técnico disponible.</t>
  </si>
  <si>
    <t>La solicitud queda correctamente asignada al técnico seleccionado y la información se refleja en el detalle de la solicitud.</t>
  </si>
  <si>
    <t>Solicitud pendiente + técnico disponible.</t>
  </si>
  <si>
    <t>MCT_370</t>
  </si>
  <si>
    <t>Web Gestor - Técnicos</t>
  </si>
  <si>
    <t>Visualizar listado de técnicos</t>
  </si>
  <si>
    <t>1. Iniciar sesión como Gestor.
2. Ingresar al módulo Técnicos.
3. Revisar el listado.</t>
  </si>
  <si>
    <t>Usuario Gestor activo y técnicos registrados.</t>
  </si>
  <si>
    <t>El sistema muestra el listado de técnicos disponibles para gestión.</t>
  </si>
  <si>
    <t>Técnicos registrados.</t>
  </si>
  <si>
    <t>MCT_380</t>
  </si>
  <si>
    <t>Visualizar información de un técnico</t>
  </si>
  <si>
    <t>1. Ingresar al módulo Técnicos.
2. Seleccionar un técnico.
3. Revisar su información.</t>
  </si>
  <si>
    <t>Existir al menos un técnico registrado.</t>
  </si>
  <si>
    <t>El sistema muestra correctamente la información del técnico, incluyendo sus datos, especialidad y estado.</t>
  </si>
  <si>
    <t>Técnico registrado.</t>
  </si>
  <si>
    <t>MCT_390</t>
  </si>
  <si>
    <t>Filtrar técnicos por estado</t>
  </si>
  <si>
    <t>1. Ingresar al módulo Técnicos.
2. Seleccionar el filtro de estado.
3. Seleccionar un estado.
4. Aplicar el filtro.</t>
  </si>
  <si>
    <t>Existir técnicos con diferentes estados.</t>
  </si>
  <si>
    <t>El sistema muestra únicamente los técnicos que corresponden al estado seleccionado.</t>
  </si>
  <si>
    <t>Estado: Disponible.</t>
  </si>
  <si>
    <t>MCT_400</t>
  </si>
  <si>
    <t>Filtrar técnicos por especialidad</t>
  </si>
  <si>
    <t>1. Ingresar al módulo Técnicos.
2. Seleccionar el filtro de especialidad.
3. Seleccionar una especialidad.
4. Aplicar el filtro.</t>
  </si>
  <si>
    <t>Existir técnicos con diferentes especialidades.</t>
  </si>
  <si>
    <t>El sistema muestra los técnicos que poseen la especialidad seleccionada.</t>
  </si>
  <si>
    <t>Especialidad: Electricidad.</t>
  </si>
  <si>
    <t>MCT_410</t>
  </si>
  <si>
    <t>Consultar disponibilidad del técnico</t>
  </si>
  <si>
    <t>1. Ingresar al módulo Técnicos.
2. Seleccionar un técnico.
3. Revisar su disponibilidad.</t>
  </si>
  <si>
    <t>Casos</t>
  </si>
  <si>
    <t>Técnico registrado con información de disponibilidad.</t>
  </si>
  <si>
    <t>El sistema muestra correctamente la disponibilidad del técnico para su gestión.</t>
  </si>
  <si>
    <t>Técnico disponible/no disponible.</t>
  </si>
  <si>
    <t>MCT_420</t>
  </si>
  <si>
    <t>Consultar ubicación del técnico</t>
  </si>
  <si>
    <t>1. Ingresar al módulo Técnicos.
2. Seleccionar un técnico.
3. Revisar la información de ubicación.</t>
  </si>
  <si>
    <t>Técnico registrado y con ubicación disponible.</t>
  </si>
  <si>
    <t>El sistema muestra correctamente la ubicación registrada o disponible del técnico.</t>
  </si>
  <si>
    <t>Técnico con ubicación registrada.</t>
  </si>
  <si>
    <t>MCT_430</t>
  </si>
  <si>
    <t>Visualizar carga de trabajo del técnico</t>
  </si>
  <si>
    <t>1. Ingresar al módulo Técnicos.
2. Seleccionar un técnico.
3. Revisar sus solicitudes o servicios asignados.</t>
  </si>
  <si>
    <t>Técnico con solicitudes asignadas.</t>
  </si>
  <si>
    <t>El sistema muestra correctamente la carga de trabajo o cantidad de solicitudes asignadas al técnico.</t>
  </si>
  <si>
    <t>MCT_440</t>
  </si>
  <si>
    <t>Consultar técnico para asignación de solicitud</t>
  </si>
  <si>
    <t>1. Ingresar a Técnicos.
2. Buscar o filtrar técnicos según especialidad y disponibilidad.
3. Seleccionar un técnico.
4. Revisar su información antes de realizar una asignación.</t>
  </si>
  <si>
    <t>Existir una solicitud pendiente y técnicos registrados.</t>
  </si>
  <si>
    <t>El gestor puede consultar la información necesaria del técnico para apoyar la asignación de una solicitud.</t>
  </si>
  <si>
    <t>MCT_450</t>
  </si>
  <si>
    <t>Web Gestor - Calendario</t>
  </si>
  <si>
    <t>Visualizar calendario</t>
  </si>
  <si>
    <t>1. Iniciar sesión como Gestor.
2. Ingresar al módulo Calendario.
3. Revisar la agenda.</t>
  </si>
  <si>
    <t>Usuario Gestor activo.</t>
  </si>
  <si>
    <t>El sistema muestra correctamente el calendario y las actividades programadas.</t>
  </si>
  <si>
    <t>Calendario con solicitudes asignadas.</t>
  </si>
  <si>
    <t>MCT_460</t>
  </si>
  <si>
    <t>Visualizar solicitud programada</t>
  </si>
  <si>
    <t>1. Ingresar al Calendario.
2. Ubicar una solicitud programada.
3. Seleccionarla.</t>
  </si>
  <si>
    <t>Existir una solicitud con fecha y horario asignados.</t>
  </si>
  <si>
    <t>El sistema muestra la información correspondiente a la solicitud seleccionada.</t>
  </si>
  <si>
    <t>Solicitud programada.</t>
  </si>
  <si>
    <t>MCT_470</t>
  </si>
  <si>
    <t>Navegar entre fechas del calendario</t>
  </si>
  <si>
    <t>1. Ingresar al Calendario.
2. Seleccionar una fecha diferente.
3. Avanzar y retroceder entre períodos.</t>
  </si>
  <si>
    <t>Calendario disponible.</t>
  </si>
  <si>
    <t>El sistema permite navegar correctamente entre las fechas y actualiza la información mostrada.</t>
  </si>
  <si>
    <t>Fechas de la semana actual y siguiente.</t>
  </si>
  <si>
    <t>MCT_480</t>
  </si>
  <si>
    <t>Visualizar asignación de técnico</t>
  </si>
  <si>
    <t>1. Ingresar al Calendario.
2. Seleccionar una solicitud asignada.
3. Revisar el técnico asociado.</t>
  </si>
  <si>
    <t>Existir una solicitud asignada a un técnico.</t>
  </si>
  <si>
    <t>El calendario muestra correctamente el técnico asociado a la actividad.</t>
  </si>
  <si>
    <t>Solicitud con técnico asignado.</t>
  </si>
  <si>
    <t>MCT_490</t>
  </si>
  <si>
    <t>Identificar solicitudes según estado</t>
  </si>
  <si>
    <t>1. Ingresar al Calendario.
2. Revisar solicitudes con diferentes estados.
3. Comparar la información mostrada.</t>
  </si>
  <si>
    <t>Existir solicitudes en diferentes estados.</t>
  </si>
  <si>
    <t>El calendario permite identificar correctamente el estado de las solicitudes según la información definida por el sistema.</t>
  </si>
  <si>
    <t>Pendiente, En proceso, Completada.</t>
  </si>
  <si>
    <t>MCT_500</t>
  </si>
  <si>
    <t>Filtrar información del calendario</t>
  </si>
  <si>
    <t>1. Ingresar al Calendario.
2. Seleccionar un filtro disponible, como técnico o período.
3. Aplicar el filtro.</t>
  </si>
  <si>
    <t>Existir información que pueda ser filtrada.</t>
  </si>
  <si>
    <t>El calendario muestra únicamente la información correspondiente al filtro seleccionado.</t>
  </si>
  <si>
    <t>Técnico seleccionado / semana determinada.</t>
  </si>
  <si>
    <t>MCT_510</t>
  </si>
  <si>
    <t>Consultar disponibilidad para programación</t>
  </si>
  <si>
    <t>1. Ingresar al Calendario.
2. Seleccionar una fecha.
3. Revisar las actividades y disponibilidad del técnico.
4. Comparar con las solicitudes programadas.</t>
  </si>
  <si>
    <t>Existir técnicos con actividades programadas.</t>
  </si>
  <si>
    <t>El sistema permite visualizar la información necesaria para conocer la disponibilidad del técnico.</t>
  </si>
  <si>
    <t>Técnico con actividades asignadas.</t>
  </si>
  <si>
    <t>MCT_520</t>
  </si>
  <si>
    <t>Visualizar solicitud asignada en calendario</t>
  </si>
  <si>
    <t>1. Crear o seleccionar una solicitud.
2. Asignar un técnico.
3. Definir fecha y horario.
4. Ingresar al Calendario.
5. Ubicar la solicitud programada.</t>
  </si>
  <si>
    <t>Solicitud asignada a un técnico con fecha y horario definidos.</t>
  </si>
  <si>
    <t>La solicitud aparece correctamente en el calendario con su fecha, horario y técnico asociado.</t>
  </si>
  <si>
    <t>Solicitud asignada + fecha y horario válidos.</t>
  </si>
  <si>
    <t>MCT_530</t>
  </si>
  <si>
    <t>Web Administrador - Usuarios</t>
  </si>
  <si>
    <t>Visualizar listado de usuarios</t>
  </si>
  <si>
    <t>1. Iniciar sesión como Administrador.
2. Ingresar al módulo Usuarios.
3. Revisar el listado.</t>
  </si>
  <si>
    <t>Usuario Administrador activo y usuarios registrados.</t>
  </si>
  <si>
    <t>El sistema muestra el listado de usuarios con su información correspondiente.</t>
  </si>
  <si>
    <t>Usuarios registrados.</t>
  </si>
  <si>
    <t>MCT_540</t>
  </si>
  <si>
    <t>Crear usuario Gestor</t>
  </si>
  <si>
    <t>1. Ingresar a Usuarios.
2. Seleccionar Crear usuario.
3. Seleccionar tipo Gestor.
4. Completar los datos requeridos.
5. Confirmar la creación.</t>
  </si>
  <si>
    <t>Administrador autenticado.</t>
  </si>
  <si>
    <t>El sistema crea correctamente el usuario Gestor y le asigna acceso al Web.</t>
  </si>
  <si>
    <t>Nombre, correo corporativo, teléfono y área válidos.</t>
  </si>
  <si>
    <t>MCT_550</t>
  </si>
  <si>
    <t>Crear usuario Técnico</t>
  </si>
  <si>
    <t>1. Ingresar a Usuarios.
2. Seleccionar Crear usuario.
3. Seleccionar tipo Técnico.
4. Completar especialidad y zona de trabajo.
5. Confirmar la creación.</t>
  </si>
  <si>
    <t>El sistema crea correctamente el usuario Técnico y le asigna acceso a la App Técnico.</t>
  </si>
  <si>
    <t>Nombre, correo, teléfono, especialidad y zona válidos.</t>
  </si>
  <si>
    <t>MCT_560</t>
  </si>
  <si>
    <t>Validar correo ya registrado</t>
  </si>
  <si>
    <t>1. Ingresar a Crear usuario.
2. Completar los datos requeridos.
3. Ingresar un correo que ya pertenece a un usuario.
4. Confirmar la creación.</t>
  </si>
  <si>
    <t>Existir un usuario con el correo utilizado.</t>
  </si>
  <si>
    <t>El sistema impide crear el usuario y muestra un mensaje indicando que el correo ya está registrado.</t>
  </si>
  <si>
    <t>MCT_570</t>
  </si>
  <si>
    <t>Validar campos obligatorios al crear usuario</t>
  </si>
  <si>
    <t>1. Ingresar a Crear usuario.
2. Seleccionar Gestor o Técnico.
3. Dejar campos obligatorios vacíos.
4. Intentar guardar.</t>
  </si>
  <si>
    <t>El sistema impide guardar el usuario y muestra los campos obligatorios pendientes.</t>
  </si>
  <si>
    <t>Campos requeridos vacíos.</t>
  </si>
  <si>
    <t>MCT_580</t>
  </si>
  <si>
    <t>Editar información de usuario</t>
  </si>
  <si>
    <t>1. Ingresar al listado de usuarios.
2. Seleccionar un usuario.
3. Seleccionar Editar.
4. Modificar un dato permitido.
5. Guardar los cambios.</t>
  </si>
  <si>
    <t>Existir un usuario registrado.</t>
  </si>
  <si>
    <t>El sistema guarda correctamente los cambios y muestra la información actualizada.</t>
  </si>
  <si>
    <t>Modificar teléfono o área.</t>
  </si>
  <si>
    <t>MCT_590</t>
  </si>
  <si>
    <t>Desactivar usuario</t>
  </si>
  <si>
    <t>1. Ingresar al listado de usuarios.
2. Seleccionar un usuario activo.
3. Seleccionar Desactivar.
4. Confirmar la acción.</t>
  </si>
  <si>
    <t>Existir un usuario activo.</t>
  </si>
  <si>
    <t>El sistema cambia el estado del usuario a inactivo y registra el cambio.</t>
  </si>
  <si>
    <t>Usuario Gestor o Técnico activo.</t>
  </si>
  <si>
    <t>MCT_600</t>
  </si>
  <si>
    <t>Restablecer credenciales de usuario</t>
  </si>
  <si>
    <t>1. Ingresar al listado de usuarios.
2. Seleccionar un usuario.
3. Seleccionar la opción de restablecer credenciales.
4. Confirmar la acción.</t>
  </si>
  <si>
    <t>El sistema ejecuta correctamente el proceso de restablecimiento de credenciales según la configuración definida.</t>
  </si>
  <si>
    <t>Usuario Gestor/Técnico registrado.</t>
  </si>
  <si>
    <t>MCT_610</t>
  </si>
  <si>
    <t>Crear y habilitar usuario Técnico</t>
  </si>
  <si>
    <t>1. Crear un usuario Técnico desde el módulo Usuarios.
2. Completar sus datos y especialidad.
3. Confirmar la creación.
4. Revisar el listado de usuarios.
5. Verificar su estado y tipo de acceso.</t>
  </si>
  <si>
    <t>El usuario Técnico queda registrado correctamente, activo y asociado al acceso de la App Técnico.</t>
  </si>
  <si>
    <t>Técnico nuevo con especialidad válida.</t>
  </si>
  <si>
    <t>MCT_620</t>
  </si>
  <si>
    <t>Web Administrador - Dashboard y reportes</t>
  </si>
  <si>
    <t>Visualizar dashboard</t>
  </si>
  <si>
    <t>1. Iniciar sesión como Administrador.
2. Ingresar al módulo Dashboard.
3. Revisar la información mostrada.</t>
  </si>
  <si>
    <t>Usuario Administrador activo y datos registrados en el sistema.</t>
  </si>
  <si>
    <t>El sistema muestra correctamente el dashboard con los indicadores y elementos configurados.</t>
  </si>
  <si>
    <t>Datos históricos de solicitudes.</t>
  </si>
  <si>
    <t>MCT_630</t>
  </si>
  <si>
    <t>Aplicar filtros al dashboard</t>
  </si>
  <si>
    <t>1. Ingresar al Dashboard.
2. Seleccionar un filtro disponible.
3. Aplicar el filtro.
4. Revisar los indicadores y gráficos.</t>
  </si>
  <si>
    <t>Dashboard con información disponible.</t>
  </si>
  <si>
    <t>Los elementos del dashboard se actualizan de acuerdo con el filtro seleccionado.</t>
  </si>
  <si>
    <t>Período: mes actual.</t>
  </si>
  <si>
    <t>MCT_640</t>
  </si>
  <si>
    <t>Visualizar indicador del dashboard</t>
  </si>
  <si>
    <t>1. Ingresar al Dashboard.
2. Ubicar un indicador.
3. Revisar el valor mostrado.</t>
  </si>
  <si>
    <t>Existir información registrada para el indicador.</t>
  </si>
  <si>
    <t>El sistema muestra correctamente el valor correspondiente al indicador.</t>
  </si>
  <si>
    <t>Cantidad de solicitudes.</t>
  </si>
  <si>
    <t>MCT_650</t>
  </si>
  <si>
    <t>Total de casos</t>
  </si>
  <si>
    <t>Visualizar gráfico del dashboard</t>
  </si>
  <si>
    <t>1. Ingresar al Dashboard.
2. Ubicar un gráfico configurado.
3. Revisar la información representada.</t>
  </si>
  <si>
    <t>Existir información registrada.</t>
  </si>
  <si>
    <t>El gráfico se muestra correctamente y representa los datos correspondientes.</t>
  </si>
  <si>
    <t>Solicitudes por estado.</t>
  </si>
  <si>
    <t>MCT_660</t>
  </si>
  <si>
    <t>Crear dashboard</t>
  </si>
  <si>
    <t>1. Ingresar al módulo Dashboard.
2. Seleccionar crear dashboard.
3. Ingresar nombre.
4. Guardar.</t>
  </si>
  <si>
    <t>Usuario Administrador autenticado.</t>
  </si>
  <si>
    <t>El sistema crea y guarda correctamente el nuevo dashboard.</t>
  </si>
  <si>
    <t>Nombre: Gestión de solicitudes.</t>
  </si>
  <si>
    <t>MCT_670</t>
  </si>
  <si>
    <t>Agregar widget al dashboard</t>
  </si>
  <si>
    <t>1. Abrir un dashboard existente.
2. Seleccionar agregar widget.
3. Seleccionar un tipo de widget.
4. Configurar los datos requeridos.
5. Guardar.</t>
  </si>
  <si>
    <t>Existir un dashboard creado.</t>
  </si>
  <si>
    <t>El widget se agrega correctamente y queda visible dentro del dashboard.</t>
  </si>
  <si>
    <t>Widget: gráfico de barras.</t>
  </si>
  <si>
    <t>MCT_680</t>
  </si>
  <si>
    <t>Modificar configuración de widget</t>
  </si>
  <si>
    <t>1. Abrir un dashboard.
2. Seleccionar un widget existente.
3. Editar su configuración.
4. Guardar los cambios.</t>
  </si>
  <si>
    <t>Existir un dashboard con al menos un widget.</t>
  </si>
  <si>
    <t>El sistema guarda la configuración modificada y actualiza el widget.</t>
  </si>
  <si>
    <t>Cambiar período o indicador.</t>
  </si>
  <si>
    <t>% de  avance</t>
  </si>
  <si>
    <t>MCT_690</t>
  </si>
  <si>
    <t>Eliminar widget del dashboard</t>
  </si>
  <si>
    <t>1. Abrir un dashboard.
2. Seleccionar un widget.
3. Seleccionar eliminar.
4. Confirmar la acción.</t>
  </si>
  <si>
    <t>Existir un dashboard con widgets.</t>
  </si>
  <si>
    <t>El widget seleccionado se elimina correctamente del dashboard.</t>
  </si>
  <si>
    <t>Widget existente.</t>
  </si>
  <si>
    <t>MCT_700</t>
  </si>
  <si>
    <t>Exportar reporte</t>
  </si>
  <si>
    <t>1. Ingresar a Dashboard y reportes.
2. Seleccionar los datos o período requerido.
3. Seleccionar Exportar.
4. Verificar el archivo generado.</t>
  </si>
  <si>
    <t>Existir información disponible para generar el reporte.</t>
  </si>
  <si>
    <t>El sistema genera correctamente el reporte con la información seleccionada.</t>
  </si>
  <si>
    <t>Reporte mensual de solicitudes.</t>
  </si>
  <si>
    <t>MCT_710</t>
  </si>
  <si>
    <t>Crear dashboard y visualizar información</t>
  </si>
  <si>
    <t>1. Crear un nuevo dashboard.
2. Agregar un widget.
3. Configurar el widget.
4. Guardar el dashboard.
5. Volver a ingresar al dashboard.
6. Revisar la información mostrada.</t>
  </si>
  <si>
    <t>Administrador autenticado y datos disponibles.</t>
  </si>
  <si>
    <t>El dashboard queda guardado con su configuración y muestra correctamente la información del sistema.</t>
  </si>
  <si>
    <t>Dashboard con indicador y gráfico de solicitudes.</t>
  </si>
  <si>
    <t>MCT_720</t>
  </si>
  <si>
    <t>App Técnico - Login</t>
  </si>
  <si>
    <t>1. Abrir la App Técnico.
2. Ingresar correo registrado.
3. Ingresar contraseña correcta.
4. Seleccionar Iniciar sesión.</t>
  </si>
  <si>
    <t>Técnico registrado y activo.</t>
  </si>
  <si>
    <t>El sistema valida las credenciales y permite acceder a la aplicación.</t>
  </si>
  <si>
    <t>MCT_730</t>
  </si>
  <si>
    <t>1. Abrir la App Técnico.
2. Ingresar correo registrado.
3. Ingresar contraseña incorrecta.
4. Seleccionar Iniciar sesión.</t>
  </si>
  <si>
    <t>MCT_740</t>
  </si>
  <si>
    <t>Validar campos obligatorios</t>
  </si>
  <si>
    <t>1. Abrir la App Técnico.
2. Dejar correo y/o contraseña vacíos.
3. Seleccionar Iniciar sesión.</t>
  </si>
  <si>
    <t>MCT_750</t>
  </si>
  <si>
    <t>1. Abrir la App Técnico.
2. Ingresar un correo con formato inválido.
3. Ingresar una contraseña.
4. Seleccionar Iniciar sesión.</t>
  </si>
  <si>
    <t>tecnico@</t>
  </si>
  <si>
    <t>MCT_760</t>
  </si>
  <si>
    <t>Impedir acceso a técnico inactivo</t>
  </si>
  <si>
    <t>1. Abrir la App Técnico.
2. Ingresar las credenciales de un técnico inactivo.
3. Seleccionar Iniciar sesión.</t>
  </si>
  <si>
    <t>Existir un técnico registrado pero inactivo.</t>
  </si>
  <si>
    <t>Técnico inactivo.</t>
  </si>
  <si>
    <t>MCT_770</t>
  </si>
  <si>
    <t>Impedir acceso a usuario sin permisos de técnico</t>
  </si>
  <si>
    <t>1. Abrir la App Técnico.
2. Ingresar credenciales de un usuario que no posee acceso de técnico.
3. Seleccionar Iniciar sesión.</t>
  </si>
  <si>
    <t>Existir un usuario activo sin permisos para la App Técnico.</t>
  </si>
  <si>
    <t>El sistema impide el acceso a la aplicación y muestra un mensaje de acceso no autorizado.</t>
  </si>
  <si>
    <t>Usuario Gestor.</t>
  </si>
  <si>
    <t>MCT_780</t>
  </si>
  <si>
    <t>Total casos que diseño cada integrante del equipo</t>
  </si>
  <si>
    <t>Iniciar sesión y acceder a la aplicación</t>
  </si>
  <si>
    <t>1. Abrir la App Técnico.
2. Ingresar credenciales válidas.
3. Seleccionar Iniciar sesión.
4. Verificar la pantalla principal de la aplicación.</t>
  </si>
  <si>
    <t>Técnico registrado, activo y con acceso habilitado.</t>
  </si>
  <si>
    <t>El técnico inicia sesión correctamente y es dirigido a la pantalla principal de la App Técnico.</t>
  </si>
  <si>
    <t>Técnico activo con credenciales válidas.</t>
  </si>
  <si>
    <t>MCT_790</t>
  </si>
  <si>
    <t>Jose Espinoza</t>
  </si>
  <si>
    <t>App Técnico - Servicios</t>
  </si>
  <si>
    <t>Visualizar servicios asignados</t>
  </si>
  <si>
    <t>1. Iniciar sesión en la App Técnico.
2. Ingresar al módulo Servicios.
3. Revisar el listado.</t>
  </si>
  <si>
    <t>Técnico autenticado con servicios asignados.</t>
  </si>
  <si>
    <t>El sistema muestra los servicios asignados al técnico correctamente.</t>
  </si>
  <si>
    <t>Técnico con servicios asignados.</t>
  </si>
  <si>
    <t>MCT_800</t>
  </si>
  <si>
    <t>Visualizar detalle de un servicio</t>
  </si>
  <si>
    <t>1. Ingresar al módulo Servicios.
2. Seleccionar un servicio.
3. Revisar la información mostrada.</t>
  </si>
  <si>
    <t>Existir un servicio asignado al técnico.</t>
  </si>
  <si>
    <t>El sistema muestra correctamente los datos del servicio, incluyendo descripción, fecha, horario, ubicación y estado.</t>
  </si>
  <si>
    <t>Servicio asignado.</t>
  </si>
  <si>
    <t>MCT_810</t>
  </si>
  <si>
    <t>Visualizar servicios sin asignaciones</t>
  </si>
  <si>
    <t>Técnico autenticado sin servicios asignados.</t>
  </si>
  <si>
    <t>El sistema muestra un mensaje indicando que no existen servicios asignados.</t>
  </si>
  <si>
    <t>Técnico sin servicios.</t>
  </si>
  <si>
    <t>MCT_820</t>
  </si>
  <si>
    <t>Actualizar estado del servicio</t>
  </si>
  <si>
    <t>1. Ingresar al detalle de un servicio.
2. Seleccionar la opción para cambiar el estado.
3. Seleccionar el nuevo estado.
4. Confirmar.</t>
  </si>
  <si>
    <t>Técnico con un servicio asignado en estado pendiente.</t>
  </si>
  <si>
    <t>Jose Herrera</t>
  </si>
  <si>
    <t>El sistema actualiza correctamente el estado del servicio.</t>
  </si>
  <si>
    <t>Pendiente → En proceso.</t>
  </si>
  <si>
    <t>MCT_830</t>
  </si>
  <si>
    <t>Visualizar información actualizada del servicio</t>
  </si>
  <si>
    <t>1. Abrir un servicio asignado.
2. Realizar un cambio de estado.
3. Salir del detalle.
4. Volver a ingresar al servicio.</t>
  </si>
  <si>
    <t>Existir un servicio asignado y permitir cambio de estado.</t>
  </si>
  <si>
    <t>El nuevo estado se mantiene correctamente al volver a consultar el servicio.</t>
  </si>
  <si>
    <t>Estado: En proceso.</t>
  </si>
  <si>
    <t>MCT_840</t>
  </si>
  <si>
    <t>Finalizar servicio</t>
  </si>
  <si>
    <t>1. Ingresar al detalle del servicio.
2. Verificar que el trabajo esté realizado.
3. Seleccionar Finalizar servicio.
4. Confirmar la acción.</t>
  </si>
  <si>
    <t>Servicio en estado En proceso.</t>
  </si>
  <si>
    <t>El sistema cambia el estado del servicio a finalizado y registra la actualización.</t>
  </si>
  <si>
    <t>Servicio en proceso.</t>
  </si>
  <si>
    <t>MCT_850</t>
  </si>
  <si>
    <t>Sebastian Valdes</t>
  </si>
  <si>
    <t>Impedir finalización de servicio no iniciado</t>
  </si>
  <si>
    <t>1. Ingresar al detalle de un servicio pendiente.
2. Intentar seleccionar Finalizar servicio.</t>
  </si>
  <si>
    <t>Servicio en estado Pendiente.</t>
  </si>
  <si>
    <t>El sistema impide finalizar el servicio mientras no se encuentre en un estado que permita su cierre.</t>
  </si>
  <si>
    <t>Servicio pendiente.</t>
  </si>
  <si>
    <t>MCT_860</t>
  </si>
  <si>
    <t>Gestionar servicio desde asignación hasta finalización</t>
  </si>
  <si>
    <t>1. Iniciar sesión.
2. Visualizar el servicio asignado.
3. Abrir el detalle.
4. Cambiar el estado a En proceso.
5. Finalizar el servicio.
6. Volver al listado.</t>
  </si>
  <si>
    <t>Técnico activo con un servicio asignado.</t>
  </si>
  <si>
    <t>El servicio puede ser gestionado correctamente desde su estado inicial hasta su finalización y el cambio queda registrado.</t>
  </si>
  <si>
    <t>Servicio asignado válido.</t>
  </si>
  <si>
    <t>MCT_870</t>
  </si>
  <si>
    <t>Total Casos diseñados</t>
  </si>
  <si>
    <t>App Técnico - Ubicación</t>
  </si>
  <si>
    <t>Visualizar ubicación del servicio</t>
  </si>
  <si>
    <t>1. Iniciar sesión en la App Técnico.
2. Ingresar a Servicios.
3. Seleccionar un servicio asignado.
4. Ingresar a Ubicación.</t>
  </si>
  <si>
    <t>Servicio asignado con ubicación registrada.</t>
  </si>
  <si>
    <t>La aplicación muestra correctamente la ubicación del servicio en el mapa.</t>
  </si>
  <si>
    <t>Dirección válida del servicio.</t>
  </si>
  <si>
    <t>MCT_880</t>
  </si>
  <si>
    <t>Visualizar dirección del servicio</t>
  </si>
  <si>
    <t>1. Abrir un servicio asignado.
2. Ingresar a Ubicación.
3. Revisar la dirección mostrada.</t>
  </si>
  <si>
    <t>Servicio con dirección registrada.</t>
  </si>
  <si>
    <t>La aplicación muestra correctamente calle, número, comuna y demás datos disponibles de la dirección.</t>
  </si>
  <si>
    <t>Dirección registrada.</t>
  </si>
  <si>
    <t>MCT_890</t>
  </si>
  <si>
    <t>Consultar ruta hacia el servicio</t>
  </si>
  <si>
    <t>1. Abrir un servicio asignado.
2. Ingresar a Ubicación.
3. Seleccionar la opción de ruta o navegación.</t>
  </si>
  <si>
    <t>Servicio con ubicación válida y servicio de mapas disponible.</t>
  </si>
  <si>
    <t>El sistema muestra la ruta desde la ubicación del técnico hacia el lugar del servicio o permite iniciar la navegación.</t>
  </si>
  <si>
    <t>Ubicación válida.</t>
  </si>
  <si>
    <t>MCT_900</t>
  </si>
  <si>
    <t>Actualizar ubicación del técnico</t>
  </si>
  <si>
    <t>1. Iniciar sesión.
2. Permitir acceso a la ubicación del dispositivo.
3. Desplazarse a una ubicación diferente.
4. Verificar la ubicación registrada por la aplicación.</t>
  </si>
  <si>
    <t>GPS del dispositivo habilitado y permisos de ubicación concedidos.</t>
  </si>
  <si>
    <t>El sistema obtiene y registra la ubicación actual del técnico correctamente.</t>
  </si>
  <si>
    <t>Ubicación GPS del dispositivo.</t>
  </si>
  <si>
    <t>MCT_910</t>
  </si>
  <si>
    <t>Gestionar permiso de ubicación denegado</t>
  </si>
  <si>
    <t>1. Abrir la aplicación.
2. Denegar el permiso de ubicación.
3. Ingresar a la función de ubicación.</t>
  </si>
  <si>
    <t>Permiso de ubicación denegado.</t>
  </si>
  <si>
    <t>La aplicación informa que necesita acceso a la ubicación para utilizar la función correspondiente y no genera una ubicación incorrecta.</t>
  </si>
  <si>
    <t>Permiso GPS denegado.</t>
  </si>
  <si>
    <t>MCT_920</t>
  </si>
  <si>
    <t>Actualizar ubicación en el mapa</t>
  </si>
  <si>
    <t>1. Ingresar a la ubicación de un servicio.
2. Modificar o actualizar la posición del técnico.
3. Revisar el mapa.</t>
  </si>
  <si>
    <t>GPS habilitado y ubicación disponible.</t>
  </si>
  <si>
    <t>El mapa actualiza correctamente la posición del técnico según la información disponible.</t>
  </si>
  <si>
    <t>Nueva posición GPS.</t>
  </si>
  <si>
    <t>MCT_930</t>
  </si>
  <si>
    <t>Consultar ubicación y ruta del servicio</t>
  </si>
  <si>
    <t>1. Iniciar sesión.
2. Seleccionar un servicio asignado.
3. Ingresar a Ubicación.
4. Verificar la dirección.
5. Visualizar el mapa.
6. Solicitar la ruta hacia el servicio.</t>
  </si>
  <si>
    <t>Técnico autenticado, servicio asignado y ubicación válida.</t>
  </si>
  <si>
    <t>El técnico puede consultar correctamente la dirección, visualizar el mapa y obtener la ruta hacia el servicio.</t>
  </si>
  <si>
    <t>Servicio con ubicación válida.</t>
  </si>
  <si>
    <t>MCT_940</t>
  </si>
  <si>
    <t>App Técnico - Evidencias</t>
  </si>
  <si>
    <t>Visualizar evidencias de un servicio</t>
  </si>
  <si>
    <t>1. Iniciar sesión en la App Técnico.
2. Ingresar a Servicios.
3. Seleccionar un servicio con evidencias.
4. Ingresar a Evidencias.</t>
  </si>
  <si>
    <t>Servicio con evidencias registradas.</t>
  </si>
  <si>
    <t>La aplicación muestra correctamente las evidencias asociadas al servicio.</t>
  </si>
  <si>
    <t>Servicio con fotografías registradas.</t>
  </si>
  <si>
    <t>MCT_950</t>
  </si>
  <si>
    <t>Tomar fotografía como evidencia</t>
  </si>
  <si>
    <t>1. Ingresar al detalle de un servicio.
2. Seleccionar Agregar evidencia.
3. Seleccionar la cámara.
4. Tomar una fotografía.
5. Confirmar la fotografía.</t>
  </si>
  <si>
    <t>Técnico autenticado y servicio disponible para registrar evidencia.</t>
  </si>
  <si>
    <t>La fotografía se captura correctamente y queda disponible para ser asociada al servicio.</t>
  </si>
  <si>
    <t>Fotografía tomada desde el dispositivo.</t>
  </si>
  <si>
    <t>MCT_960</t>
  </si>
  <si>
    <t>Adjuntar fotografía desde el dispositivo</t>
  </si>
  <si>
    <t>1. Ingresar al detalle de un servicio.
2. Seleccionar Agregar evidencia.
3. Seleccionar una fotografía desde la galería.
4. Confirmar la selección.</t>
  </si>
  <si>
    <t>La fotografía seleccionada se carga correctamente como evidencia del servicio.</t>
  </si>
  <si>
    <t>Imagen JPG/PNG válida.</t>
  </si>
  <si>
    <t>MCT_970</t>
  </si>
  <si>
    <t>Validar formato de archivo de evidencia</t>
  </si>
  <si>
    <t>1. Ingresar a Agregar evidencia.
2. Seleccionar un archivo no compatible.
3. Intentar adjuntarlo.</t>
  </si>
  <si>
    <t>Servicio disponible para agregar evidencia.</t>
  </si>
  <si>
    <t>El sistema rechaza el archivo no compatible e informa que el formato no es válido.</t>
  </si>
  <si>
    <t>Archivo con formato no permitido.</t>
  </si>
  <si>
    <t>MCT_980</t>
  </si>
  <si>
    <t>Eliminar evidencia antes de guardar</t>
  </si>
  <si>
    <t>1. Agregar una fotografía como evidencia.
2. Seleccionar la opción Eliminar.
3. Confirmar la eliminación.</t>
  </si>
  <si>
    <t>Existir una evidencia pendiente de guardar.</t>
  </si>
  <si>
    <t>La fotografía se elimina de la selección y no queda asociada al servicio.</t>
  </si>
  <si>
    <t>Fotografía seleccionada.</t>
  </si>
  <si>
    <t>MCT_990</t>
  </si>
  <si>
    <t>Guardar evidencia asociada al servicio</t>
  </si>
  <si>
    <t>1. Agregar una fotografía.
2. Revisar la evidencia seleccionada.
3. Confirmar o guardar.
4. Volver a consultar el servicio.</t>
  </si>
  <si>
    <t>Servicio disponible y fotografía válida.</t>
  </si>
  <si>
    <t>La evidencia queda almacenada y asociada correctamente al servicio.</t>
  </si>
  <si>
    <t>Fotografía válida.</t>
  </si>
  <si>
    <t>MCT_1000</t>
  </si>
  <si>
    <t>Registrar y consultar evidencia de un servicio</t>
  </si>
  <si>
    <t>1. Ingresar a un servicio.
2. Agregar una fotografía.
3. Guardar la evidencia.
4. Salir del servicio.
5. Volver a ingresar.
6. Consultar Evidencias.</t>
  </si>
  <si>
    <t>Técnico autenticado y servicio asignado.</t>
  </si>
  <si>
    <t>La evidencia registrada permanece asociada al servicio y puede ser consultada posteriormente.</t>
  </si>
  <si>
    <t>Fotografía de evidencia válida.</t>
  </si>
  <si>
    <t>MCT_1010</t>
  </si>
  <si>
    <t>App Técnico - Notificaciones</t>
  </si>
  <si>
    <t>Visualizar notificaciones</t>
  </si>
  <si>
    <t>1. Iniciar sesión en la App Técnico.
2. Ingresar al módulo Notificaciones.
3. Revisar el listado.</t>
  </si>
  <si>
    <t>Técnico autenticado con notificaciones registradas.</t>
  </si>
  <si>
    <t>El sistema muestra correctamente las notificaciones recibidas por el técnico.</t>
  </si>
  <si>
    <t>Notificaciones registradas.</t>
  </si>
  <si>
    <t>Total casos diseñados por modulo</t>
  </si>
  <si>
    <t>MCT_1020</t>
  </si>
  <si>
    <t>Recibir notificación de nueva asignación</t>
  </si>
  <si>
    <t>1. Asignar un servicio al técnico desde el Web Gestor.
2. Ingresar a la App Técnico.
3. Revisar las notificaciones.</t>
  </si>
  <si>
    <t>Técnico activo y servicio asignado.</t>
  </si>
  <si>
    <t>El técnico recibe una notificación informando que se le asignó un nuevo servicio.</t>
  </si>
  <si>
    <t>Nueva asignación de servicio.</t>
  </si>
  <si>
    <t>Web Cliente</t>
  </si>
  <si>
    <t>MCT_1030</t>
  </si>
  <si>
    <t>Abrir detalle de una notificación</t>
  </si>
  <si>
    <t>1. Ingresar a Notificaciones.
2. Seleccionar una notificación.
3. Revisar su contenido.</t>
  </si>
  <si>
    <t>Existir una notificación registrada.</t>
  </si>
  <si>
    <t>El sistema muestra correctamente el contenido y la información relacionada con la notificación.</t>
  </si>
  <si>
    <t>Notificación de asignación.</t>
  </si>
  <si>
    <t>MCT_1040</t>
  </si>
  <si>
    <t>Marcar notificación como leída</t>
  </si>
  <si>
    <t>1. Ingresar a Notificaciones.
2. Seleccionar una notificación no leída.
3. Abrirla o marcarla como leída.</t>
  </si>
  <si>
    <t>Existir una notificación no leída.</t>
  </si>
  <si>
    <t>La notificación cambia correctamente a estado leída y se actualiza su indicador.</t>
  </si>
  <si>
    <t>Notificación no leída.</t>
  </si>
  <si>
    <t>MCT_1050</t>
  </si>
  <si>
    <t>Visualizar estado de notificaciones</t>
  </si>
  <si>
    <t>1. Ingresar al módulo Notificaciones.
2. Revisar notificaciones leídas y no leídas.</t>
  </si>
  <si>
    <t>Existir notificaciones en diferentes estados.</t>
  </si>
  <si>
    <t>El sistema permite distinguir correctamente las notificaciones leídas de las no leídas.</t>
  </si>
  <si>
    <t>Notificaciones leídas/no leídas.</t>
  </si>
  <si>
    <t>MCT_1060</t>
  </si>
  <si>
    <t>Web Gestor</t>
  </si>
  <si>
    <t>Recibir notificación por cambio de servicio</t>
  </si>
  <si>
    <t>1. Modificar información de un servicio asignado al técnico desde el Web Gestor.
2. Ingresar a la App Técnico.
3. Revisar las notificaciones.</t>
  </si>
  <si>
    <t>Técnico con un servicio asignado.</t>
  </si>
  <si>
    <t>El técnico recibe una notificación informando el cambio realizado en el servicio.</t>
  </si>
  <si>
    <t>Cambio de fecha, horario o información del servicio.</t>
  </si>
  <si>
    <t>MCT_1070</t>
  </si>
  <si>
    <t>Recibir y consultar notificación de asignación</t>
  </si>
  <si>
    <t>1. Asignar un servicio al técnico desde Web Gestor.
2. Ingresar a la App Técnico.
3. Abrir Notificaciones.
4. Seleccionar la notificación recibida.
5. Revisar la información del servicio asociado.</t>
  </si>
  <si>
    <t>El técnico recibe la notificación, puede abrirla y consultar correctamente la información asociada al servicio.</t>
  </si>
  <si>
    <t>Nueva asignación válida.</t>
  </si>
  <si>
    <t>Web Administrador</t>
  </si>
  <si>
    <t>App Técnico</t>
  </si>
  <si>
    <t>Total casos que ejecuto cada integrante del equipo</t>
  </si>
  <si>
    <t>Total Casos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</si>
</sst>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2.0"/>
      <color theme="0"/>
      <name val="Calibri"/>
    </font>
    <font>
      <sz val="24.0"/>
      <color theme="1"/>
      <name val="Calibri"/>
    </font>
    <font/>
    <font>
      <b/>
      <sz val="12.0"/>
      <color rgb="FFFFFFFF"/>
      <name val="Calibri"/>
    </font>
    <font>
      <sz val="12.0"/>
      <color theme="1"/>
      <name val="Calibri"/>
    </font>
    <font>
      <sz val="39.0"/>
      <color theme="1"/>
      <name val="Calibri"/>
    </font>
    <font>
      <sz val="12.0"/>
      <color rgb="FF000000"/>
      <name val="Calibri"/>
    </font>
    <font>
      <sz val="11.0"/>
      <color rgb="FF000000"/>
      <name val="Inconsolata"/>
    </font>
    <font>
      <sz val="2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7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right/>
      <top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0" fillId="0" fontId="1" numFmtId="0" xfId="0" applyFont="1"/>
    <xf borderId="3" fillId="2" fontId="1" numFmtId="0" xfId="0" applyBorder="1" applyFill="1" applyFont="1"/>
    <xf borderId="4" fillId="2" fontId="1" numFmtId="0" xfId="0" applyBorder="1" applyFill="1" applyFont="1"/>
    <xf borderId="0" fillId="0" fontId="2" numFmtId="0" xfId="0" applyFont="1"/>
    <xf borderId="5" fillId="2" fontId="1" numFmtId="0" xfId="0" applyBorder="1" applyFill="1" applyFont="1"/>
    <xf borderId="6" fillId="2" fontId="1" numFmtId="0" xfId="0" applyBorder="1" applyFill="1" applyFont="1"/>
    <xf quotePrefix="1" borderId="7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7" fillId="3" fontId="6" numFmtId="1" xfId="0" applyAlignment="1" applyBorder="1" applyFill="1" applyFont="1" applyNumberFormat="1">
      <alignment shrinkToFit="0" vertical="center" wrapText="1"/>
    </xf>
    <xf borderId="7" fillId="4" fontId="7" numFmtId="0" xfId="0" applyAlignment="1" applyBorder="1" applyFill="1" applyFont="1">
      <alignment horizontal="center"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8" fillId="2" fontId="8" numFmtId="0" xfId="0" applyAlignment="1" applyBorder="1" applyFill="1" applyFont="1">
      <alignment horizontal="center" readingOrder="0"/>
    </xf>
    <xf borderId="7" fillId="5" fontId="9" numFmtId="0" xfId="0" applyAlignment="1" applyBorder="1" applyFill="1" applyFont="1">
      <alignment horizontal="center" readingOrder="0" shrinkToFit="0" vertical="center" wrapText="1"/>
    </xf>
    <xf borderId="11" fillId="0" fontId="5" numFmtId="0" xfId="0" applyBorder="1" applyFont="1"/>
    <xf borderId="7" fillId="4" fontId="7" numFmtId="0" xfId="0" applyAlignment="1" applyBorder="1" applyFill="1" applyFont="1">
      <alignment readingOrder="0" shrinkToFit="0" vertical="center" wrapText="1"/>
    </xf>
    <xf borderId="12" fillId="0" fontId="5" numFmtId="0" xfId="0" applyBorder="1" applyFont="1"/>
    <xf borderId="7" fillId="5" fontId="7" numFmtId="1" xfId="0" applyAlignment="1" applyBorder="1" applyFill="1" applyFont="1" applyNumberFormat="1">
      <alignment readingOrder="0" shrinkToFit="0" vertical="center" wrapText="1"/>
    </xf>
    <xf borderId="7" fillId="4" fontId="7" numFmtId="0" xfId="0" applyAlignment="1" applyBorder="1" applyFill="1" applyFont="1">
      <alignment horizontal="left" readingOrder="0" shrinkToFit="0" vertical="center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7" fillId="5" fontId="7" numFmtId="0" xfId="0" applyAlignment="1" applyBorder="1" applyFill="1" applyFont="1">
      <alignment readingOrder="0" shrinkToFit="0" vertical="center" wrapText="1"/>
    </xf>
    <xf borderId="16" fillId="2" fontId="1" numFmtId="0" xfId="0" applyBorder="1" applyFill="1" applyFont="1"/>
    <xf borderId="17" fillId="2" fontId="1" numFmtId="0" xfId="0" applyBorder="1" applyFill="1" applyFont="1"/>
    <xf borderId="7" fillId="3" fontId="6" numFmtId="1" xfId="0" applyAlignment="1" applyBorder="1" applyFill="1" applyFont="1" applyNumberFormat="1">
      <alignment readingOrder="0" shrinkToFit="0" vertical="center" wrapText="1"/>
    </xf>
    <xf borderId="18" fillId="2" fontId="7" numFmtId="0" xfId="0" applyAlignment="1" applyBorder="1" applyFill="1" applyFont="1">
      <alignment horizontal="left" readingOrder="0" shrinkToFit="0" vertical="top" wrapText="1"/>
    </xf>
    <xf borderId="19" fillId="0" fontId="5" numFmtId="0" xfId="0" applyBorder="1" applyFont="1"/>
    <xf borderId="20" fillId="0" fontId="5" numFmtId="0" xfId="0" applyBorder="1" applyFont="1"/>
    <xf borderId="21" fillId="2" fontId="1" numFmtId="0" xfId="0" applyBorder="1" applyFill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2" fontId="1" numFmtId="0" xfId="0" applyBorder="1" applyFill="1" applyFont="1"/>
    <xf borderId="28" fillId="2" fontId="1" numFmtId="0" xfId="0" applyBorder="1" applyFill="1" applyFont="1"/>
    <xf borderId="29" fillId="2" fontId="1" numFmtId="0" xfId="0" applyBorder="1" applyFill="1" applyFont="1"/>
    <xf borderId="30" fillId="2" fontId="1" numFmtId="0" xfId="0" applyBorder="1" applyFill="1" applyFont="1"/>
    <xf borderId="1" fillId="2" fontId="1" numFmtId="0" xfId="0" applyAlignment="1" applyBorder="1" applyFill="1" applyFont="1">
      <alignment horizontal="center"/>
    </xf>
    <xf borderId="1" fillId="6" fontId="1" numFmtId="0" xfId="0" applyBorder="1" applyFill="1" applyFont="1"/>
    <xf borderId="1" fillId="6" fontId="1" numFmtId="0" xfId="0" applyAlignment="1" applyBorder="1" applyFill="1" applyFont="1">
      <alignment horizontal="center"/>
    </xf>
    <xf borderId="1" fillId="6" fontId="10" numFmtId="0" xfId="0" applyBorder="1" applyFill="1" applyFont="1"/>
    <xf borderId="31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7" fillId="2" fontId="1" numFmtId="0" xfId="0" applyAlignment="1" applyBorder="1" applyFill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1" fillId="6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horizontal="center" vertical="center"/>
    </xf>
    <xf borderId="34" fillId="7" fontId="1" numFmtId="0" xfId="0" applyAlignment="1" applyBorder="1" applyFill="1" applyFont="1">
      <alignment vertical="center"/>
    </xf>
    <xf borderId="35" fillId="0" fontId="5" numFmtId="0" xfId="0" applyBorder="1" applyFont="1"/>
    <xf borderId="7" fillId="7" fontId="1" numFmtId="0" xfId="0" applyAlignment="1" applyBorder="1" applyFill="1" applyFont="1">
      <alignment horizontal="center" vertical="center"/>
    </xf>
    <xf borderId="18" fillId="2" fontId="11" numFmtId="164" xfId="0" applyAlignment="1" applyBorder="1" applyFill="1" applyFont="1" applyNumberFormat="1">
      <alignment horizontal="center" vertical="center"/>
    </xf>
    <xf borderId="31" fillId="2" fontId="11" numFmtId="9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" fillId="2" fontId="10" numFmtId="0" xfId="0" applyBorder="1" applyFill="1" applyFont="1"/>
    <xf borderId="18" fillId="2" fontId="1" numFmtId="0" xfId="0" applyAlignment="1" applyBorder="1" applyFill="1" applyFont="1">
      <alignment horizontal="center" shrinkToFit="0" vertical="center" wrapText="1"/>
    </xf>
    <xf borderId="34" fillId="2" fontId="1" numFmtId="0" xfId="0" applyBorder="1" applyFill="1" applyFont="1"/>
    <xf borderId="36" fillId="2" fontId="1" numFmtId="0" xfId="0" applyBorder="1" applyFill="1" applyFont="1"/>
    <xf borderId="34" fillId="2" fontId="1" numFmtId="0" xfId="0" applyAlignment="1" applyBorder="1" applyFill="1" applyFont="1">
      <alignment readingOrder="0"/>
    </xf>
    <xf borderId="7" fillId="7" fontId="1" numFmtId="0" xfId="0" applyBorder="1" applyFill="1" applyFont="1"/>
    <xf borderId="16" fillId="6" fontId="1" numFmtId="0" xfId="0" applyBorder="1" applyFill="1" applyFont="1"/>
    <xf borderId="17" fillId="6" fontId="1" numFmtId="0" xfId="0" applyBorder="1" applyFill="1" applyFont="1"/>
    <xf borderId="17" fillId="8" fontId="1" numFmtId="0" xfId="0" applyBorder="1" applyFill="1" applyFont="1"/>
    <xf borderId="16" fillId="8" fontId="1" numFmtId="0" xfId="0" applyBorder="1" applyFill="1" applyFont="1"/>
    <xf borderId="1" fillId="8" fontId="1" numFmtId="0" xfId="0" applyBorder="1" applyFill="1" applyFont="1"/>
    <xf borderId="21" fillId="8" fontId="1" numFmtId="0" xfId="0" applyBorder="1" applyFill="1" applyFont="1"/>
    <xf borderId="0" fillId="3" fontId="6" numFmtId="1" xfId="0" applyAlignment="1" applyFill="1" applyFont="1" applyNumberFormat="1">
      <alignment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readingOrder="0" shrinkToFit="0" vertical="center" wrapText="1"/>
    </xf>
    <xf borderId="0" fillId="5" fontId="7" numFmtId="1" xfId="0" applyAlignment="1" applyFill="1" applyFont="1" applyNumberFormat="1">
      <alignment readingOrder="0" shrinkToFit="0" vertical="center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27" fillId="6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4076218"/>
        <c:axId val="372439111"/>
      </c:barChart>
      <c:catAx>
        <c:axId val="40762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2439111"/>
      </c:catAx>
      <c:valAx>
        <c:axId val="3724391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76218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>
        <c:manualLayout>
          <c:xMode val="edge"/>
          <c:yMode val="edge"/>
          <c:x val="0.10824092741935475"/>
          <c:y val="0.1796296296296297"/>
          <c:w val="0.8532975341191068"/>
          <c:h val="0.6592592592592592"/>
        </c:manualLayout>
      </c:layout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Control!$E$70:$E$73</c:f>
            </c:strRef>
          </c:cat>
          <c:val>
            <c:numRef>
              <c:f>Control!$F$70:$F$72</c:f>
              <c:numCache/>
            </c:numRef>
          </c:val>
        </c:ser>
        <c:ser>
          <c:idx val="1"/>
          <c:order val="1"/>
          <c:invertIfNegative val="0"/>
          <c:cat>
            <c:strRef>
              <c:f>Control!$E$70:$E$73</c:f>
            </c:strRef>
          </c:cat>
          <c:val>
            <c:numRef>
              <c:f>Control!$G$70:$G$72</c:f>
              <c:numCache/>
            </c:numRef>
          </c:val>
        </c:ser>
        <c:axId val="978638499"/>
        <c:axId val="245168191"/>
      </c:barChart>
      <c:catAx>
        <c:axId val="978638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5168191"/>
      </c:catAx>
      <c:valAx>
        <c:axId val="245168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863849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diseño cada integrante del equipo</a:t>
            </a:r>
          </a:p>
        </c:rich>
      </c:tx>
      <c:overlay val="0"/>
    </c:title>
    <c:plotArea>
      <c:layout>
        <c:manualLayout>
          <c:xMode val="edge"/>
          <c:yMode val="edge"/>
          <c:x val="0.10824092741935475"/>
          <c:y val="0.1796296296296297"/>
          <c:w val="0.8532975341191068"/>
          <c:h val="0.6592592592592592"/>
        </c:manualLayout>
      </c:layout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Control!$E$23:$E$25</c:f>
            </c:strRef>
          </c:cat>
          <c:val>
            <c:numRef>
              <c:f>Control!$F$23:$F$25</c:f>
              <c:numCache/>
            </c:numRef>
          </c:val>
        </c:ser>
        <c:ser>
          <c:idx val="1"/>
          <c:order val="1"/>
          <c:invertIfNegative val="0"/>
          <c:cat>
            <c:strRef>
              <c:f>Control!$E$23:$E$25</c:f>
            </c:strRef>
          </c:cat>
          <c:val>
            <c:numRef>
              <c:f>Control!$G$23:$G$25</c:f>
              <c:numCache/>
            </c:numRef>
          </c:val>
        </c:ser>
        <c:axId val="860382030"/>
        <c:axId val="694220052"/>
      </c:barChart>
      <c:catAx>
        <c:axId val="860382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4220052"/>
      </c:catAx>
      <c:valAx>
        <c:axId val="694220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038203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diseñados por modulo</a:t>
            </a:r>
          </a:p>
        </c:rich>
      </c:tx>
      <c:overlay val="0"/>
    </c:title>
    <c:plotArea>
      <c:layout>
        <c:manualLayout>
          <c:xMode val="edge"/>
          <c:yMode val="edge"/>
          <c:x val="0.10824092741935475"/>
          <c:y val="0.1796296296296297"/>
          <c:w val="0.8532975341191068"/>
          <c:h val="0.6592592592592592"/>
        </c:manualLayout>
      </c:layout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Control!$E$42:$E$46</c:f>
            </c:strRef>
          </c:cat>
          <c:val>
            <c:numRef>
              <c:f>Control!$F$42:$F$45</c:f>
              <c:numCache/>
            </c:numRef>
          </c:val>
        </c:ser>
        <c:ser>
          <c:idx val="1"/>
          <c:order val="1"/>
          <c:invertIfNegative val="0"/>
          <c:cat>
            <c:strRef>
              <c:f>Control!$E$42:$E$46</c:f>
            </c:strRef>
          </c:cat>
          <c:val>
            <c:numRef>
              <c:f>Control!$G$42:$G$45</c:f>
              <c:numCache/>
            </c:numRef>
          </c:val>
        </c:ser>
        <c:axId val="104740491"/>
        <c:axId val="261339600"/>
      </c:barChart>
      <c:catAx>
        <c:axId val="104740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1339600"/>
      </c:catAx>
      <c:valAx>
        <c:axId val="261339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740491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3</xdr:row>
      <xdr:rowOff>66675</xdr:rowOff>
    </xdr:from>
    <xdr:ext cx="9210675" cy="2714625"/>
    <xdr:graphicFrame>
      <xdr:nvGraphicFramePr>
        <xdr:cNvPr id="67064206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209550</xdr:colOff>
      <xdr:row>69</xdr:row>
      <xdr:rowOff>0</xdr:rowOff>
    </xdr:from>
    <xdr:ext cx="8639175" cy="2466975"/>
    <xdr:graphicFrame>
      <xdr:nvGraphicFramePr>
        <xdr:cNvPr id="174359091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133350</xdr:colOff>
      <xdr:row>21</xdr:row>
      <xdr:rowOff>85725</xdr:rowOff>
    </xdr:from>
    <xdr:ext cx="8639175" cy="2867025"/>
    <xdr:graphicFrame>
      <xdr:nvGraphicFramePr>
        <xdr:cNvPr id="159290496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295275</xdr:colOff>
      <xdr:row>38</xdr:row>
      <xdr:rowOff>76200</xdr:rowOff>
    </xdr:from>
    <xdr:ext cx="8477250" cy="4229100"/>
    <xdr:graphicFrame>
      <xdr:nvGraphicFramePr>
        <xdr:cNvPr id="177844490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13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4.25" customHeight="1">
      <c r="A2" s="1"/>
      <c r="B2" s="2"/>
      <c r="C2" s="4"/>
      <c r="D2" s="4"/>
      <c r="E2" s="4"/>
      <c r="F2" s="4"/>
      <c r="G2" s="4"/>
      <c r="H2" s="4"/>
      <c r="I2" s="4"/>
      <c r="J2" s="4"/>
      <c r="K2" s="4"/>
      <c r="L2" s="5"/>
      <c r="M2" s="1"/>
    </row>
    <row r="3" ht="14.25" customHeight="1">
      <c r="A3" s="1"/>
      <c r="B3" s="7"/>
      <c r="C3" s="2"/>
      <c r="D3" s="4"/>
      <c r="E3" s="4"/>
      <c r="F3" s="4"/>
      <c r="G3" s="4"/>
      <c r="H3" s="4"/>
      <c r="I3" s="4"/>
      <c r="J3" s="4"/>
      <c r="K3" s="5"/>
      <c r="L3" s="8"/>
      <c r="M3" s="1"/>
    </row>
    <row r="4" ht="14.25" customHeight="1">
      <c r="A4" s="1"/>
      <c r="B4" s="7"/>
      <c r="C4" s="7"/>
      <c r="D4" s="1"/>
      <c r="E4" s="1"/>
      <c r="F4" s="1"/>
      <c r="G4" s="1"/>
      <c r="H4" s="1"/>
      <c r="I4" s="1"/>
      <c r="J4" s="1"/>
      <c r="K4" s="8"/>
      <c r="L4" s="8"/>
      <c r="M4" s="1"/>
    </row>
    <row r="5" ht="14.25" customHeight="1">
      <c r="A5" s="1"/>
      <c r="B5" s="7"/>
      <c r="C5" s="7"/>
      <c r="D5" s="1"/>
      <c r="E5" s="1"/>
      <c r="F5" s="1"/>
      <c r="G5" s="1"/>
      <c r="H5" s="1"/>
      <c r="I5" s="1"/>
      <c r="J5" s="1"/>
      <c r="K5" s="8"/>
      <c r="L5" s="8"/>
      <c r="M5" s="1"/>
    </row>
    <row r="6" ht="14.25" customHeight="1">
      <c r="A6" s="1"/>
      <c r="B6" s="7"/>
      <c r="C6" s="7"/>
      <c r="D6" s="1"/>
      <c r="E6" s="11" t="s">
        <v>11</v>
      </c>
      <c r="F6" s="12"/>
      <c r="G6" s="12"/>
      <c r="H6" s="12"/>
      <c r="I6" s="12"/>
      <c r="J6" s="1"/>
      <c r="K6" s="8"/>
      <c r="L6" s="8"/>
      <c r="M6" s="1"/>
    </row>
    <row r="7" ht="14.25" customHeight="1">
      <c r="A7" s="1"/>
      <c r="B7" s="7"/>
      <c r="C7" s="7"/>
      <c r="D7" s="1"/>
      <c r="E7" s="13"/>
      <c r="J7" s="1"/>
      <c r="K7" s="8"/>
      <c r="L7" s="8"/>
      <c r="M7" s="1"/>
    </row>
    <row r="8" ht="14.25" customHeight="1">
      <c r="A8" s="1"/>
      <c r="B8" s="7"/>
      <c r="C8" s="7"/>
      <c r="D8" s="1"/>
      <c r="E8" s="13"/>
      <c r="J8" s="1"/>
      <c r="K8" s="8"/>
      <c r="L8" s="8"/>
      <c r="M8" s="1"/>
    </row>
    <row r="9" ht="14.25" customHeight="1">
      <c r="A9" s="1"/>
      <c r="B9" s="7"/>
      <c r="C9" s="7"/>
      <c r="D9" s="1"/>
      <c r="E9" s="13"/>
      <c r="J9" s="1"/>
      <c r="K9" s="8"/>
      <c r="L9" s="8"/>
      <c r="M9" s="1"/>
    </row>
    <row r="10" ht="14.25" customHeight="1">
      <c r="A10" s="1"/>
      <c r="B10" s="7"/>
      <c r="C10" s="7"/>
      <c r="D10" s="1"/>
      <c r="E10" s="13"/>
      <c r="J10" s="1"/>
      <c r="K10" s="8"/>
      <c r="L10" s="8"/>
      <c r="M10" s="1"/>
    </row>
    <row r="11" ht="14.25" customHeight="1">
      <c r="A11" s="1"/>
      <c r="B11" s="7"/>
      <c r="C11" s="7"/>
      <c r="D11" s="1"/>
      <c r="E11" s="1"/>
      <c r="F11" s="1"/>
      <c r="G11" s="1"/>
      <c r="H11" s="1"/>
      <c r="I11" s="1"/>
      <c r="J11" s="1"/>
      <c r="K11" s="8"/>
      <c r="L11" s="8"/>
      <c r="M11" s="1"/>
    </row>
    <row r="12" ht="14.25" customHeight="1">
      <c r="A12" s="1"/>
      <c r="B12" s="7"/>
      <c r="C12" s="7"/>
      <c r="D12" s="1"/>
      <c r="E12" s="1"/>
      <c r="F12" s="1"/>
      <c r="G12" s="1"/>
      <c r="H12" s="1"/>
      <c r="I12" s="1"/>
      <c r="J12" s="1"/>
      <c r="K12" s="8"/>
      <c r="L12" s="8"/>
      <c r="M12" s="1"/>
    </row>
    <row r="13" ht="14.25" customHeight="1">
      <c r="A13" s="1"/>
      <c r="B13" s="7"/>
      <c r="C13" s="7"/>
      <c r="D13" s="1"/>
      <c r="E13" s="1"/>
      <c r="F13" s="1"/>
      <c r="G13" s="1"/>
      <c r="H13" s="1"/>
      <c r="I13" s="1"/>
      <c r="J13" s="1"/>
      <c r="K13" s="8"/>
      <c r="L13" s="8"/>
      <c r="M13" s="1"/>
    </row>
    <row r="14" ht="14.25" customHeight="1">
      <c r="A14" s="1"/>
      <c r="B14" s="7"/>
      <c r="C14" s="7"/>
      <c r="D14" s="1"/>
      <c r="E14" s="1"/>
      <c r="F14" s="1"/>
      <c r="G14" s="1"/>
      <c r="H14" s="1"/>
      <c r="I14" s="1"/>
      <c r="J14" s="1"/>
      <c r="K14" s="8"/>
      <c r="L14" s="8"/>
      <c r="M14" s="1"/>
    </row>
    <row r="15" ht="14.25" customHeight="1">
      <c r="A15" s="1"/>
      <c r="B15" s="7"/>
      <c r="C15" s="7"/>
      <c r="D15" s="1"/>
      <c r="E15" s="1"/>
      <c r="F15" s="1"/>
      <c r="G15" s="1"/>
      <c r="H15" s="1"/>
      <c r="I15" s="1"/>
      <c r="J15" s="1"/>
      <c r="K15" s="8"/>
      <c r="L15" s="8"/>
      <c r="M15" s="1"/>
    </row>
    <row r="16" ht="14.25" customHeight="1">
      <c r="A16" s="1"/>
      <c r="B16" s="7"/>
      <c r="C16" s="7"/>
      <c r="D16" s="1"/>
      <c r="E16" s="1"/>
      <c r="F16" s="1"/>
      <c r="G16" s="1"/>
      <c r="H16" s="1"/>
      <c r="I16" s="1"/>
      <c r="J16" s="1"/>
      <c r="K16" s="8"/>
      <c r="L16" s="8"/>
      <c r="M16" s="1"/>
    </row>
    <row r="17" ht="14.25" customHeight="1">
      <c r="A17" s="1"/>
      <c r="B17" s="7"/>
      <c r="C17" s="7"/>
      <c r="D17" s="18" t="s">
        <v>37</v>
      </c>
      <c r="E17" s="12"/>
      <c r="F17" s="12"/>
      <c r="G17" s="12"/>
      <c r="H17" s="12"/>
      <c r="I17" s="12"/>
      <c r="J17" s="20"/>
      <c r="K17" s="8"/>
      <c r="L17" s="8"/>
      <c r="M17" s="1"/>
    </row>
    <row r="18" ht="14.25" customHeight="1">
      <c r="A18" s="1"/>
      <c r="B18" s="7"/>
      <c r="C18" s="7"/>
      <c r="D18" s="13"/>
      <c r="J18" s="22"/>
      <c r="K18" s="8"/>
      <c r="L18" s="8"/>
      <c r="M18" s="1"/>
    </row>
    <row r="19" ht="14.25" customHeight="1">
      <c r="A19" s="1"/>
      <c r="B19" s="7"/>
      <c r="C19" s="7"/>
      <c r="D19" s="13"/>
      <c r="J19" s="22"/>
      <c r="K19" s="8"/>
      <c r="L19" s="8"/>
      <c r="M19" s="1"/>
    </row>
    <row r="20" ht="14.25" customHeight="1">
      <c r="A20" s="1"/>
      <c r="B20" s="7"/>
      <c r="C20" s="7"/>
      <c r="D20" s="25"/>
      <c r="E20" s="26"/>
      <c r="F20" s="26"/>
      <c r="G20" s="26"/>
      <c r="H20" s="26"/>
      <c r="I20" s="26"/>
      <c r="J20" s="27"/>
      <c r="K20" s="8"/>
      <c r="L20" s="8"/>
      <c r="M20" s="1"/>
    </row>
    <row r="21" ht="14.25" customHeight="1">
      <c r="A21" s="1"/>
      <c r="B21" s="7"/>
      <c r="C21" s="7"/>
      <c r="D21" s="1"/>
      <c r="E21" s="1"/>
      <c r="F21" s="1"/>
      <c r="G21" s="1"/>
      <c r="H21" s="1"/>
      <c r="I21" s="1"/>
      <c r="J21" s="1"/>
      <c r="K21" s="8"/>
      <c r="L21" s="8"/>
      <c r="M21" s="1"/>
    </row>
    <row r="22" ht="14.25" customHeight="1">
      <c r="A22" s="1"/>
      <c r="B22" s="7"/>
      <c r="C22" s="7"/>
      <c r="D22" s="1"/>
      <c r="E22" s="1"/>
      <c r="F22" s="1"/>
      <c r="G22" s="1"/>
      <c r="H22" s="1"/>
      <c r="I22" s="1"/>
      <c r="J22" s="1"/>
      <c r="K22" s="8"/>
      <c r="L22" s="8"/>
      <c r="M22" s="1"/>
    </row>
    <row r="23" ht="14.25" customHeight="1">
      <c r="A23" s="1"/>
      <c r="B23" s="7"/>
      <c r="C23" s="7"/>
      <c r="D23" s="1"/>
      <c r="E23" s="1"/>
      <c r="F23" s="1"/>
      <c r="G23" s="1"/>
      <c r="H23" s="1"/>
      <c r="I23" s="1"/>
      <c r="J23" s="1"/>
      <c r="K23" s="8"/>
      <c r="L23" s="8"/>
      <c r="M23" s="1"/>
    </row>
    <row r="24" ht="14.25" customHeight="1">
      <c r="A24" s="1"/>
      <c r="B24" s="7"/>
      <c r="C24" s="7"/>
      <c r="D24" s="1"/>
      <c r="E24" s="1"/>
      <c r="F24" s="1"/>
      <c r="G24" s="1"/>
      <c r="H24" s="1"/>
      <c r="I24" s="1"/>
      <c r="J24" s="1"/>
      <c r="K24" s="8"/>
      <c r="L24" s="8"/>
      <c r="M24" s="1"/>
    </row>
    <row r="25" ht="14.25" customHeight="1">
      <c r="A25" s="1"/>
      <c r="B25" s="7"/>
      <c r="C25" s="7"/>
      <c r="D25" s="1"/>
      <c r="E25" s="1"/>
      <c r="F25" s="1"/>
      <c r="G25" s="1"/>
      <c r="H25" s="1"/>
      <c r="I25" s="1"/>
      <c r="J25" s="1"/>
      <c r="K25" s="8"/>
      <c r="L25" s="8"/>
      <c r="M25" s="1"/>
    </row>
    <row r="26" ht="14.25" customHeight="1">
      <c r="A26" s="1"/>
      <c r="B26" s="7"/>
      <c r="C26" s="7"/>
      <c r="D26" s="1"/>
      <c r="E26" s="1"/>
      <c r="F26" s="1"/>
      <c r="G26" s="1"/>
      <c r="H26" s="1"/>
      <c r="I26" s="1"/>
      <c r="J26" s="1"/>
      <c r="K26" s="8"/>
      <c r="L26" s="8"/>
      <c r="M26" s="1"/>
    </row>
    <row r="27" ht="14.25" customHeight="1">
      <c r="A27" s="1"/>
      <c r="B27" s="7"/>
      <c r="C27" s="7"/>
      <c r="D27" s="1"/>
      <c r="E27" s="1"/>
      <c r="F27" s="1"/>
      <c r="G27" s="1"/>
      <c r="H27" s="1"/>
      <c r="I27" s="1"/>
      <c r="J27" s="1"/>
      <c r="K27" s="8"/>
      <c r="L27" s="8"/>
      <c r="M27" s="1"/>
    </row>
    <row r="28" ht="14.25" customHeight="1">
      <c r="A28" s="1"/>
      <c r="B28" s="7"/>
      <c r="C28" s="7"/>
      <c r="D28" s="1"/>
      <c r="E28" s="29"/>
      <c r="F28" s="29"/>
      <c r="G28" s="29"/>
      <c r="H28" s="29"/>
      <c r="I28" s="29"/>
      <c r="J28" s="1"/>
      <c r="K28" s="8"/>
      <c r="L28" s="8"/>
      <c r="M28" s="1"/>
    </row>
    <row r="29" ht="14.25" customHeight="1">
      <c r="A29" s="1"/>
      <c r="B29" s="7"/>
      <c r="C29" s="7"/>
      <c r="D29" s="30"/>
      <c r="E29" s="32" t="s">
        <v>49</v>
      </c>
      <c r="F29" s="33"/>
      <c r="G29" s="33"/>
      <c r="H29" s="33"/>
      <c r="I29" s="34"/>
      <c r="J29" s="35"/>
      <c r="K29" s="8"/>
      <c r="L29" s="8"/>
      <c r="M29" s="1"/>
    </row>
    <row r="30" ht="14.25" customHeight="1">
      <c r="A30" s="1"/>
      <c r="B30" s="7"/>
      <c r="C30" s="7"/>
      <c r="D30" s="30"/>
      <c r="E30" s="36"/>
      <c r="I30" s="37"/>
      <c r="J30" s="35"/>
      <c r="K30" s="8"/>
      <c r="L30" s="8"/>
      <c r="M30" s="1"/>
    </row>
    <row r="31" ht="14.25" customHeight="1">
      <c r="A31" s="1"/>
      <c r="B31" s="7"/>
      <c r="C31" s="7"/>
      <c r="D31" s="30"/>
      <c r="E31" s="36"/>
      <c r="I31" s="37"/>
      <c r="J31" s="35"/>
      <c r="K31" s="8"/>
      <c r="L31" s="8"/>
      <c r="M31" s="1"/>
    </row>
    <row r="32" ht="14.25" customHeight="1">
      <c r="A32" s="1"/>
      <c r="B32" s="7"/>
      <c r="C32" s="7"/>
      <c r="D32" s="30"/>
      <c r="E32" s="36"/>
      <c r="I32" s="37"/>
      <c r="J32" s="35"/>
      <c r="K32" s="8"/>
      <c r="L32" s="8"/>
      <c r="M32" s="1"/>
    </row>
    <row r="33" ht="14.25" customHeight="1">
      <c r="A33" s="1"/>
      <c r="B33" s="7"/>
      <c r="C33" s="7"/>
      <c r="D33" s="30"/>
      <c r="E33" s="36"/>
      <c r="I33" s="37"/>
      <c r="J33" s="35"/>
      <c r="K33" s="8"/>
      <c r="L33" s="8"/>
      <c r="M33" s="1"/>
    </row>
    <row r="34" ht="14.25" customHeight="1">
      <c r="A34" s="1"/>
      <c r="B34" s="7"/>
      <c r="C34" s="7"/>
      <c r="D34" s="30"/>
      <c r="E34" s="36"/>
      <c r="I34" s="37"/>
      <c r="J34" s="35"/>
      <c r="K34" s="8"/>
      <c r="L34" s="8"/>
      <c r="M34" s="1"/>
    </row>
    <row r="35" ht="16.5" customHeight="1">
      <c r="A35" s="1"/>
      <c r="B35" s="7"/>
      <c r="C35" s="7"/>
      <c r="D35" s="30"/>
      <c r="E35" s="38"/>
      <c r="F35" s="39"/>
      <c r="G35" s="39"/>
      <c r="H35" s="39"/>
      <c r="I35" s="40"/>
      <c r="J35" s="35"/>
      <c r="K35" s="8"/>
      <c r="L35" s="8"/>
      <c r="M35" s="1"/>
    </row>
    <row r="36" ht="16.5" customHeight="1">
      <c r="A36" s="1"/>
      <c r="B36" s="7"/>
      <c r="C36" s="7"/>
      <c r="D36" s="1"/>
      <c r="E36" s="41"/>
      <c r="F36" s="41"/>
      <c r="G36" s="41"/>
      <c r="H36" s="41"/>
      <c r="I36" s="41"/>
      <c r="J36" s="1"/>
      <c r="K36" s="8"/>
      <c r="L36" s="8"/>
      <c r="M36" s="1"/>
    </row>
    <row r="37" ht="16.5" customHeight="1">
      <c r="A37" s="1"/>
      <c r="B37" s="7"/>
      <c r="C37" s="7"/>
      <c r="D37" s="1"/>
      <c r="E37" s="1"/>
      <c r="F37" s="1"/>
      <c r="G37" s="1"/>
      <c r="H37" s="1"/>
      <c r="I37" s="1"/>
      <c r="J37" s="1"/>
      <c r="K37" s="8"/>
      <c r="L37" s="8"/>
      <c r="M37" s="1"/>
    </row>
    <row r="38" ht="16.5" customHeight="1">
      <c r="A38" s="1"/>
      <c r="B38" s="7"/>
      <c r="C38" s="7"/>
      <c r="D38" s="1"/>
      <c r="E38" s="1"/>
      <c r="F38" s="1"/>
      <c r="G38" s="1"/>
      <c r="H38" s="1"/>
      <c r="I38" s="1"/>
      <c r="J38" s="1"/>
      <c r="K38" s="8"/>
      <c r="L38" s="8"/>
      <c r="M38" s="1"/>
    </row>
    <row r="39" ht="16.5" customHeight="1">
      <c r="A39" s="1"/>
      <c r="B39" s="7"/>
      <c r="C39" s="7"/>
      <c r="D39" s="1"/>
      <c r="E39" s="1"/>
      <c r="F39" s="1"/>
      <c r="G39" s="1"/>
      <c r="H39" s="1"/>
      <c r="I39" s="1"/>
      <c r="J39" s="1"/>
      <c r="K39" s="8"/>
      <c r="L39" s="8"/>
      <c r="M39" s="1"/>
    </row>
    <row r="40" ht="16.5" customHeight="1">
      <c r="A40" s="1"/>
      <c r="B40" s="7"/>
      <c r="C40" s="7"/>
      <c r="D40" s="1"/>
      <c r="E40" s="1"/>
      <c r="F40" s="1"/>
      <c r="G40" s="1"/>
      <c r="H40" s="1"/>
      <c r="I40" s="1"/>
      <c r="J40" s="1"/>
      <c r="K40" s="8"/>
      <c r="L40" s="8"/>
      <c r="M40" s="1"/>
    </row>
    <row r="41" ht="14.25" customHeight="1">
      <c r="A41" s="1"/>
      <c r="B41" s="7"/>
      <c r="C41" s="7"/>
      <c r="D41" s="1"/>
      <c r="E41" s="1"/>
      <c r="F41" s="1"/>
      <c r="G41" s="1"/>
      <c r="H41" s="1"/>
      <c r="I41" s="1"/>
      <c r="J41" s="1"/>
      <c r="K41" s="8"/>
      <c r="L41" s="8"/>
      <c r="M41" s="1"/>
    </row>
    <row r="42" ht="14.25" customHeight="1">
      <c r="A42" s="1"/>
      <c r="B42" s="7"/>
      <c r="C42" s="7"/>
      <c r="D42" s="1"/>
      <c r="E42" s="1"/>
      <c r="F42" s="1"/>
      <c r="G42" s="1"/>
      <c r="H42" s="1"/>
      <c r="I42" s="1"/>
      <c r="J42" s="1"/>
      <c r="K42" s="8"/>
      <c r="L42" s="8"/>
      <c r="M42" s="1"/>
    </row>
    <row r="43" ht="14.25" customHeight="1">
      <c r="A43" s="1"/>
      <c r="B43" s="7"/>
      <c r="C43" s="42"/>
      <c r="D43" s="43"/>
      <c r="E43" s="43"/>
      <c r="F43" s="43"/>
      <c r="G43" s="43"/>
      <c r="H43" s="43"/>
      <c r="I43" s="43"/>
      <c r="J43" s="43"/>
      <c r="K43" s="44"/>
      <c r="L43" s="8"/>
      <c r="M43" s="1"/>
    </row>
    <row r="44" ht="14.25" customHeight="1">
      <c r="A44" s="1"/>
      <c r="B44" s="42"/>
      <c r="C44" s="43"/>
      <c r="D44" s="43"/>
      <c r="E44" s="43"/>
      <c r="F44" s="43"/>
      <c r="G44" s="43"/>
      <c r="H44" s="43"/>
      <c r="I44" s="43"/>
      <c r="J44" s="43"/>
      <c r="K44" s="43"/>
      <c r="L44" s="44"/>
      <c r="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</sheetData>
  <mergeCells count="3">
    <mergeCell ref="E6:I10"/>
    <mergeCell ref="D17:J20"/>
    <mergeCell ref="E29:I3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29"/>
    <col customWidth="1" min="3" max="3" width="24.71"/>
    <col customWidth="1" min="5" max="5" width="44.57"/>
    <col customWidth="1" min="6" max="6" width="74.14"/>
    <col customWidth="1" min="7" max="7" width="33.57"/>
    <col customWidth="1" min="8" max="8" width="46.86"/>
    <col customWidth="1" min="9" max="9" width="47.43"/>
    <col customWidth="1" min="10" max="10" width="26.86"/>
    <col customWidth="1" min="11" max="11" width="47.57"/>
    <col customWidth="1" min="12" max="12" width="17.29"/>
    <col customWidth="1" min="13" max="13" width="17.57"/>
    <col customWidth="1" min="14" max="14" width="34.0"/>
    <col customWidth="1" min="15" max="15" width="18.43"/>
  </cols>
  <sheetData>
    <row r="1" ht="43.5" customHeight="1">
      <c r="A1" s="9" t="s">
        <v>13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9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</row>
    <row r="2" ht="121.5" customHeight="1">
      <c r="A2" s="14" t="s">
        <v>34</v>
      </c>
      <c r="B2" s="15" t="s">
        <v>35</v>
      </c>
      <c r="C2" s="16" t="s">
        <v>36</v>
      </c>
      <c r="D2" s="17" t="s">
        <v>0</v>
      </c>
      <c r="E2" s="19" t="s">
        <v>38</v>
      </c>
      <c r="F2" s="21" t="s">
        <v>39</v>
      </c>
      <c r="G2" s="23" t="s">
        <v>40</v>
      </c>
      <c r="H2" s="24" t="s">
        <v>41</v>
      </c>
      <c r="I2" s="16" t="s">
        <v>42</v>
      </c>
      <c r="J2" s="21" t="s">
        <v>35</v>
      </c>
      <c r="K2" s="28" t="s">
        <v>43</v>
      </c>
      <c r="L2" s="15" t="s">
        <v>9</v>
      </c>
      <c r="M2" s="16" t="s">
        <v>3</v>
      </c>
      <c r="N2" s="21" t="s">
        <v>43</v>
      </c>
      <c r="O2" s="16" t="s">
        <v>2</v>
      </c>
    </row>
    <row r="3" ht="121.5" customHeight="1">
      <c r="A3" s="14" t="s">
        <v>44</v>
      </c>
      <c r="B3" s="15" t="s">
        <v>35</v>
      </c>
      <c r="C3" s="16" t="s">
        <v>36</v>
      </c>
      <c r="D3" s="17" t="s">
        <v>0</v>
      </c>
      <c r="E3" s="19" t="s">
        <v>45</v>
      </c>
      <c r="F3" s="21" t="s">
        <v>46</v>
      </c>
      <c r="G3" s="23" t="s">
        <v>40</v>
      </c>
      <c r="H3" s="24" t="s">
        <v>47</v>
      </c>
      <c r="I3" s="16" t="s">
        <v>48</v>
      </c>
      <c r="J3" s="21" t="s">
        <v>35</v>
      </c>
      <c r="K3" s="28" t="s">
        <v>43</v>
      </c>
      <c r="L3" s="15" t="s">
        <v>9</v>
      </c>
      <c r="M3" s="16" t="s">
        <v>3</v>
      </c>
      <c r="N3" s="21" t="s">
        <v>43</v>
      </c>
      <c r="O3" s="16" t="s">
        <v>2</v>
      </c>
    </row>
    <row r="4" ht="121.5" customHeight="1">
      <c r="A4" s="31" t="s">
        <v>50</v>
      </c>
      <c r="B4" s="15" t="s">
        <v>35</v>
      </c>
      <c r="C4" s="16" t="s">
        <v>36</v>
      </c>
      <c r="D4" s="17" t="s">
        <v>0</v>
      </c>
      <c r="E4" s="19" t="s">
        <v>51</v>
      </c>
      <c r="F4" s="21" t="s">
        <v>52</v>
      </c>
      <c r="G4" s="23" t="s">
        <v>53</v>
      </c>
      <c r="H4" s="24" t="s">
        <v>54</v>
      </c>
      <c r="I4" s="16" t="s">
        <v>55</v>
      </c>
      <c r="J4" s="21" t="s">
        <v>35</v>
      </c>
      <c r="K4" s="28" t="s">
        <v>43</v>
      </c>
      <c r="L4" s="15" t="s">
        <v>9</v>
      </c>
      <c r="M4" s="16" t="s">
        <v>3</v>
      </c>
      <c r="N4" s="21" t="s">
        <v>43</v>
      </c>
      <c r="O4" s="16" t="s">
        <v>2</v>
      </c>
    </row>
    <row r="5" ht="121.5" customHeight="1">
      <c r="A5" s="14" t="s">
        <v>56</v>
      </c>
      <c r="B5" s="15" t="s">
        <v>35</v>
      </c>
      <c r="C5" s="16" t="s">
        <v>36</v>
      </c>
      <c r="D5" s="17" t="s">
        <v>0</v>
      </c>
      <c r="E5" s="19" t="s">
        <v>57</v>
      </c>
      <c r="F5" s="21" t="s">
        <v>58</v>
      </c>
      <c r="G5" s="23" t="s">
        <v>53</v>
      </c>
      <c r="H5" s="24" t="s">
        <v>59</v>
      </c>
      <c r="I5" s="16" t="s">
        <v>60</v>
      </c>
      <c r="J5" s="21" t="s">
        <v>35</v>
      </c>
      <c r="K5" s="28" t="s">
        <v>43</v>
      </c>
      <c r="L5" s="15" t="s">
        <v>9</v>
      </c>
      <c r="M5" s="16" t="s">
        <v>3</v>
      </c>
      <c r="N5" s="21" t="s">
        <v>43</v>
      </c>
      <c r="O5" s="16" t="s">
        <v>2</v>
      </c>
    </row>
    <row r="6" ht="121.5" customHeight="1">
      <c r="A6" s="31" t="s">
        <v>61</v>
      </c>
      <c r="B6" s="15" t="s">
        <v>35</v>
      </c>
      <c r="C6" s="16" t="s">
        <v>62</v>
      </c>
      <c r="D6" s="17" t="s">
        <v>0</v>
      </c>
      <c r="E6" s="19" t="s">
        <v>63</v>
      </c>
      <c r="F6" s="21" t="s">
        <v>64</v>
      </c>
      <c r="G6" s="23" t="s">
        <v>65</v>
      </c>
      <c r="H6" s="24" t="s">
        <v>66</v>
      </c>
      <c r="I6" s="16" t="s">
        <v>67</v>
      </c>
      <c r="J6" s="21" t="s">
        <v>35</v>
      </c>
      <c r="K6" s="28" t="s">
        <v>43</v>
      </c>
      <c r="L6" s="15" t="s">
        <v>9</v>
      </c>
      <c r="M6" s="16" t="s">
        <v>3</v>
      </c>
      <c r="N6" s="21" t="s">
        <v>43</v>
      </c>
      <c r="O6" s="16" t="s">
        <v>2</v>
      </c>
    </row>
    <row r="7" ht="121.5" customHeight="1">
      <c r="A7" s="14" t="s">
        <v>68</v>
      </c>
      <c r="B7" s="15" t="s">
        <v>35</v>
      </c>
      <c r="C7" s="16" t="s">
        <v>62</v>
      </c>
      <c r="D7" s="17" t="s">
        <v>0</v>
      </c>
      <c r="E7" s="19" t="s">
        <v>69</v>
      </c>
      <c r="F7" s="21" t="s">
        <v>70</v>
      </c>
      <c r="G7" s="23" t="s">
        <v>71</v>
      </c>
      <c r="H7" s="24" t="s">
        <v>72</v>
      </c>
      <c r="I7" s="16" t="s">
        <v>73</v>
      </c>
      <c r="J7" s="21" t="s">
        <v>35</v>
      </c>
      <c r="K7" s="28" t="s">
        <v>43</v>
      </c>
      <c r="L7" s="15" t="s">
        <v>9</v>
      </c>
      <c r="M7" s="16" t="s">
        <v>3</v>
      </c>
      <c r="N7" s="21" t="s">
        <v>43</v>
      </c>
      <c r="O7" s="16" t="s">
        <v>2</v>
      </c>
    </row>
    <row r="8" ht="121.5" customHeight="1">
      <c r="A8" s="31" t="s">
        <v>74</v>
      </c>
      <c r="B8" s="15" t="s">
        <v>35</v>
      </c>
      <c r="C8" s="16" t="s">
        <v>62</v>
      </c>
      <c r="D8" s="17" t="s">
        <v>0</v>
      </c>
      <c r="E8" s="19" t="s">
        <v>75</v>
      </c>
      <c r="F8" s="21" t="s">
        <v>76</v>
      </c>
      <c r="G8" s="23" t="s">
        <v>77</v>
      </c>
      <c r="H8" s="24" t="s">
        <v>78</v>
      </c>
      <c r="I8" s="16" t="s">
        <v>79</v>
      </c>
      <c r="J8" s="21" t="s">
        <v>35</v>
      </c>
      <c r="K8" s="28" t="s">
        <v>43</v>
      </c>
      <c r="L8" s="15" t="s">
        <v>9</v>
      </c>
      <c r="M8" s="16" t="s">
        <v>3</v>
      </c>
      <c r="N8" s="21" t="s">
        <v>43</v>
      </c>
      <c r="O8" s="16" t="s">
        <v>2</v>
      </c>
    </row>
    <row r="9" ht="121.5" customHeight="1">
      <c r="A9" s="14" t="s">
        <v>80</v>
      </c>
      <c r="B9" s="15" t="s">
        <v>35</v>
      </c>
      <c r="C9" s="16" t="s">
        <v>81</v>
      </c>
      <c r="D9" s="17" t="s">
        <v>0</v>
      </c>
      <c r="E9" s="19" t="s">
        <v>82</v>
      </c>
      <c r="F9" s="21" t="s">
        <v>83</v>
      </c>
      <c r="G9" s="23" t="s">
        <v>84</v>
      </c>
      <c r="H9" s="24" t="s">
        <v>85</v>
      </c>
      <c r="I9" s="16" t="s">
        <v>35</v>
      </c>
      <c r="J9" s="21" t="s">
        <v>35</v>
      </c>
      <c r="K9" s="28" t="s">
        <v>43</v>
      </c>
      <c r="L9" s="15" t="s">
        <v>9</v>
      </c>
      <c r="M9" s="16" t="s">
        <v>3</v>
      </c>
      <c r="N9" s="21" t="s">
        <v>43</v>
      </c>
      <c r="O9" s="16" t="s">
        <v>2</v>
      </c>
    </row>
    <row r="10" ht="121.5" customHeight="1">
      <c r="A10" s="31" t="s">
        <v>86</v>
      </c>
      <c r="B10" s="15" t="s">
        <v>35</v>
      </c>
      <c r="C10" s="16" t="s">
        <v>81</v>
      </c>
      <c r="D10" s="17" t="s">
        <v>0</v>
      </c>
      <c r="E10" s="19" t="s">
        <v>87</v>
      </c>
      <c r="F10" s="21" t="s">
        <v>88</v>
      </c>
      <c r="G10" s="23" t="s">
        <v>89</v>
      </c>
      <c r="H10" s="24" t="s">
        <v>90</v>
      </c>
      <c r="I10" s="16" t="s">
        <v>91</v>
      </c>
      <c r="J10" s="21" t="s">
        <v>35</v>
      </c>
      <c r="K10" s="28" t="s">
        <v>43</v>
      </c>
      <c r="L10" s="15" t="s">
        <v>9</v>
      </c>
      <c r="M10" s="16" t="s">
        <v>3</v>
      </c>
      <c r="N10" s="21" t="s">
        <v>43</v>
      </c>
      <c r="O10" s="16" t="s">
        <v>2</v>
      </c>
    </row>
    <row r="11" ht="121.5" customHeight="1">
      <c r="A11" s="14" t="s">
        <v>92</v>
      </c>
      <c r="B11" s="15" t="s">
        <v>35</v>
      </c>
      <c r="C11" s="16" t="s">
        <v>81</v>
      </c>
      <c r="D11" s="17" t="s">
        <v>0</v>
      </c>
      <c r="E11" s="19" t="s">
        <v>93</v>
      </c>
      <c r="F11" s="21" t="s">
        <v>94</v>
      </c>
      <c r="G11" s="23" t="s">
        <v>95</v>
      </c>
      <c r="H11" s="24" t="s">
        <v>96</v>
      </c>
      <c r="I11" s="16" t="s">
        <v>97</v>
      </c>
      <c r="J11" s="21" t="s">
        <v>35</v>
      </c>
      <c r="K11" s="28" t="s">
        <v>43</v>
      </c>
      <c r="L11" s="15" t="s">
        <v>9</v>
      </c>
      <c r="M11" s="16" t="s">
        <v>3</v>
      </c>
      <c r="N11" s="21" t="s">
        <v>43</v>
      </c>
      <c r="O11" s="16" t="s">
        <v>2</v>
      </c>
    </row>
    <row r="12" ht="121.5" customHeight="1">
      <c r="A12" s="31" t="s">
        <v>98</v>
      </c>
      <c r="B12" s="15" t="s">
        <v>35</v>
      </c>
      <c r="C12" s="16" t="s">
        <v>81</v>
      </c>
      <c r="D12" s="17" t="s">
        <v>0</v>
      </c>
      <c r="E12" s="19" t="s">
        <v>99</v>
      </c>
      <c r="F12" s="21" t="s">
        <v>100</v>
      </c>
      <c r="G12" s="23" t="s">
        <v>89</v>
      </c>
      <c r="H12" s="24" t="s">
        <v>101</v>
      </c>
      <c r="I12" s="16" t="s">
        <v>102</v>
      </c>
      <c r="J12" s="21" t="s">
        <v>35</v>
      </c>
      <c r="K12" s="28" t="s">
        <v>43</v>
      </c>
      <c r="L12" s="15" t="s">
        <v>9</v>
      </c>
      <c r="M12" s="16" t="s">
        <v>3</v>
      </c>
      <c r="N12" s="21" t="s">
        <v>43</v>
      </c>
      <c r="O12" s="16" t="s">
        <v>2</v>
      </c>
    </row>
    <row r="13" ht="121.5" customHeight="1">
      <c r="A13" s="14" t="s">
        <v>103</v>
      </c>
      <c r="B13" s="15" t="s">
        <v>35</v>
      </c>
      <c r="C13" s="16" t="s">
        <v>81</v>
      </c>
      <c r="D13" s="17" t="s">
        <v>0</v>
      </c>
      <c r="E13" s="19" t="s">
        <v>104</v>
      </c>
      <c r="F13" s="21" t="s">
        <v>105</v>
      </c>
      <c r="G13" s="23" t="s">
        <v>89</v>
      </c>
      <c r="H13" s="24" t="s">
        <v>106</v>
      </c>
      <c r="I13" s="16" t="s">
        <v>107</v>
      </c>
      <c r="J13" s="21" t="s">
        <v>35</v>
      </c>
      <c r="K13" s="28" t="s">
        <v>43</v>
      </c>
      <c r="L13" s="15" t="s">
        <v>9</v>
      </c>
      <c r="M13" s="16" t="s">
        <v>3</v>
      </c>
      <c r="N13" s="21" t="s">
        <v>43</v>
      </c>
      <c r="O13" s="16" t="s">
        <v>2</v>
      </c>
    </row>
    <row r="14" ht="121.5" customHeight="1">
      <c r="A14" s="31" t="s">
        <v>108</v>
      </c>
      <c r="B14" s="15" t="s">
        <v>35</v>
      </c>
      <c r="C14" s="16" t="s">
        <v>81</v>
      </c>
      <c r="D14" s="17" t="s">
        <v>0</v>
      </c>
      <c r="E14" s="19" t="s">
        <v>109</v>
      </c>
      <c r="F14" s="21" t="s">
        <v>110</v>
      </c>
      <c r="G14" s="23" t="s">
        <v>89</v>
      </c>
      <c r="H14" s="24" t="s">
        <v>111</v>
      </c>
      <c r="I14" s="16" t="s">
        <v>112</v>
      </c>
      <c r="J14" s="21" t="s">
        <v>35</v>
      </c>
      <c r="K14" s="28" t="s">
        <v>43</v>
      </c>
      <c r="L14" s="15" t="s">
        <v>9</v>
      </c>
      <c r="M14" s="16" t="s">
        <v>3</v>
      </c>
      <c r="N14" s="21" t="s">
        <v>43</v>
      </c>
      <c r="O14" s="16" t="s">
        <v>2</v>
      </c>
    </row>
    <row r="15" ht="121.5" customHeight="1">
      <c r="A15" s="14" t="s">
        <v>113</v>
      </c>
      <c r="B15" s="15" t="s">
        <v>35</v>
      </c>
      <c r="C15" s="16" t="s">
        <v>81</v>
      </c>
      <c r="D15" s="17" t="s">
        <v>0</v>
      </c>
      <c r="E15" s="19" t="s">
        <v>114</v>
      </c>
      <c r="F15" s="21" t="s">
        <v>115</v>
      </c>
      <c r="G15" s="23" t="s">
        <v>116</v>
      </c>
      <c r="H15" s="24" t="s">
        <v>117</v>
      </c>
      <c r="I15" s="16" t="s">
        <v>118</v>
      </c>
      <c r="J15" s="21" t="s">
        <v>35</v>
      </c>
      <c r="K15" s="28" t="s">
        <v>43</v>
      </c>
      <c r="L15" s="15" t="s">
        <v>9</v>
      </c>
      <c r="M15" s="16" t="s">
        <v>3</v>
      </c>
      <c r="N15" s="21" t="s">
        <v>43</v>
      </c>
      <c r="O15" s="16" t="s">
        <v>2</v>
      </c>
    </row>
    <row r="16" ht="121.5" customHeight="1">
      <c r="A16" s="31" t="s">
        <v>119</v>
      </c>
      <c r="B16" s="15" t="s">
        <v>35</v>
      </c>
      <c r="C16" s="16" t="s">
        <v>81</v>
      </c>
      <c r="D16" s="17" t="s">
        <v>0</v>
      </c>
      <c r="E16" s="19" t="s">
        <v>120</v>
      </c>
      <c r="F16" s="21" t="s">
        <v>121</v>
      </c>
      <c r="G16" s="23" t="s">
        <v>122</v>
      </c>
      <c r="H16" s="24" t="s">
        <v>123</v>
      </c>
      <c r="I16" s="16" t="s">
        <v>124</v>
      </c>
      <c r="J16" s="21" t="s">
        <v>35</v>
      </c>
      <c r="K16" s="28" t="s">
        <v>43</v>
      </c>
      <c r="L16" s="15" t="s">
        <v>9</v>
      </c>
      <c r="M16" s="16" t="s">
        <v>3</v>
      </c>
      <c r="N16" s="21" t="s">
        <v>43</v>
      </c>
      <c r="O16" s="16" t="s">
        <v>2</v>
      </c>
    </row>
    <row r="17" ht="121.5" customHeight="1">
      <c r="A17" s="14" t="s">
        <v>125</v>
      </c>
      <c r="B17" s="15" t="s">
        <v>35</v>
      </c>
      <c r="C17" s="16" t="s">
        <v>126</v>
      </c>
      <c r="D17" s="17" t="s">
        <v>0</v>
      </c>
      <c r="E17" s="19" t="s">
        <v>127</v>
      </c>
      <c r="F17" s="21" t="s">
        <v>128</v>
      </c>
      <c r="G17" s="23" t="s">
        <v>129</v>
      </c>
      <c r="H17" s="24" t="s">
        <v>130</v>
      </c>
      <c r="I17" s="16" t="s">
        <v>131</v>
      </c>
      <c r="J17" s="21" t="s">
        <v>35</v>
      </c>
      <c r="K17" s="28" t="s">
        <v>43</v>
      </c>
      <c r="L17" s="15" t="s">
        <v>9</v>
      </c>
      <c r="M17" s="16" t="s">
        <v>3</v>
      </c>
      <c r="N17" s="21" t="s">
        <v>43</v>
      </c>
      <c r="O17" s="16" t="s">
        <v>2</v>
      </c>
    </row>
    <row r="18" ht="121.5" customHeight="1">
      <c r="A18" s="31" t="s">
        <v>132</v>
      </c>
      <c r="B18" s="15" t="s">
        <v>35</v>
      </c>
      <c r="C18" s="16" t="s">
        <v>126</v>
      </c>
      <c r="D18" s="17" t="s">
        <v>0</v>
      </c>
      <c r="E18" s="19" t="s">
        <v>133</v>
      </c>
      <c r="F18" s="21" t="s">
        <v>134</v>
      </c>
      <c r="G18" s="23" t="s">
        <v>135</v>
      </c>
      <c r="H18" s="24" t="s">
        <v>136</v>
      </c>
      <c r="I18" s="16" t="s">
        <v>137</v>
      </c>
      <c r="J18" s="21" t="s">
        <v>35</v>
      </c>
      <c r="K18" s="28" t="s">
        <v>43</v>
      </c>
      <c r="L18" s="15" t="s">
        <v>9</v>
      </c>
      <c r="M18" s="16" t="s">
        <v>3</v>
      </c>
      <c r="N18" s="21" t="s">
        <v>43</v>
      </c>
      <c r="O18" s="16" t="s">
        <v>2</v>
      </c>
    </row>
    <row r="19" ht="121.5" customHeight="1">
      <c r="A19" s="14" t="s">
        <v>138</v>
      </c>
      <c r="B19" s="15" t="s">
        <v>35</v>
      </c>
      <c r="C19" s="16" t="s">
        <v>126</v>
      </c>
      <c r="D19" s="17" t="s">
        <v>0</v>
      </c>
      <c r="E19" s="19" t="s">
        <v>139</v>
      </c>
      <c r="F19" s="21" t="s">
        <v>140</v>
      </c>
      <c r="G19" s="23" t="s">
        <v>141</v>
      </c>
      <c r="H19" s="24" t="s">
        <v>142</v>
      </c>
      <c r="I19" s="16" t="s">
        <v>143</v>
      </c>
      <c r="J19" s="21" t="s">
        <v>35</v>
      </c>
      <c r="K19" s="28" t="s">
        <v>43</v>
      </c>
      <c r="L19" s="15" t="s">
        <v>9</v>
      </c>
      <c r="M19" s="16" t="s">
        <v>3</v>
      </c>
      <c r="N19" s="21" t="s">
        <v>43</v>
      </c>
      <c r="O19" s="16" t="s">
        <v>2</v>
      </c>
    </row>
    <row r="20" ht="121.5" customHeight="1">
      <c r="A20" s="31" t="s">
        <v>144</v>
      </c>
      <c r="B20" s="15" t="s">
        <v>35</v>
      </c>
      <c r="C20" s="16" t="s">
        <v>126</v>
      </c>
      <c r="D20" s="17" t="s">
        <v>0</v>
      </c>
      <c r="E20" s="19" t="s">
        <v>145</v>
      </c>
      <c r="F20" s="21" t="s">
        <v>146</v>
      </c>
      <c r="G20" s="23" t="s">
        <v>147</v>
      </c>
      <c r="H20" s="24" t="s">
        <v>148</v>
      </c>
      <c r="I20" s="16" t="s">
        <v>149</v>
      </c>
      <c r="J20" s="21" t="s">
        <v>35</v>
      </c>
      <c r="K20" s="28" t="s">
        <v>43</v>
      </c>
      <c r="L20" s="15" t="s">
        <v>9</v>
      </c>
      <c r="M20" s="16" t="s">
        <v>3</v>
      </c>
      <c r="N20" s="21" t="s">
        <v>43</v>
      </c>
      <c r="O20" s="16" t="s">
        <v>2</v>
      </c>
    </row>
    <row r="21" ht="121.5" customHeight="1">
      <c r="A21" s="14" t="s">
        <v>150</v>
      </c>
      <c r="B21" s="15" t="s">
        <v>35</v>
      </c>
      <c r="C21" s="16" t="s">
        <v>126</v>
      </c>
      <c r="D21" s="17" t="s">
        <v>0</v>
      </c>
      <c r="E21" s="19" t="s">
        <v>151</v>
      </c>
      <c r="F21" s="21" t="s">
        <v>152</v>
      </c>
      <c r="G21" s="23" t="s">
        <v>153</v>
      </c>
      <c r="H21" s="24" t="s">
        <v>154</v>
      </c>
      <c r="I21" s="16" t="s">
        <v>155</v>
      </c>
      <c r="J21" s="21" t="s">
        <v>35</v>
      </c>
      <c r="K21" s="28" t="s">
        <v>43</v>
      </c>
      <c r="L21" s="15" t="s">
        <v>9</v>
      </c>
      <c r="M21" s="16" t="s">
        <v>3</v>
      </c>
      <c r="N21" s="21" t="s">
        <v>43</v>
      </c>
      <c r="O21" s="16" t="s">
        <v>2</v>
      </c>
    </row>
    <row r="22" ht="121.5" customHeight="1">
      <c r="A22" s="31" t="s">
        <v>156</v>
      </c>
      <c r="B22" s="15" t="s">
        <v>35</v>
      </c>
      <c r="C22" s="16" t="s">
        <v>126</v>
      </c>
      <c r="D22" s="17" t="s">
        <v>0</v>
      </c>
      <c r="E22" s="19" t="s">
        <v>157</v>
      </c>
      <c r="F22" s="21" t="s">
        <v>158</v>
      </c>
      <c r="G22" s="23" t="s">
        <v>159</v>
      </c>
      <c r="H22" s="24" t="s">
        <v>160</v>
      </c>
      <c r="I22" s="16" t="s">
        <v>161</v>
      </c>
      <c r="J22" s="21" t="s">
        <v>35</v>
      </c>
      <c r="K22" s="28" t="s">
        <v>43</v>
      </c>
      <c r="L22" s="15" t="s">
        <v>9</v>
      </c>
      <c r="M22" s="16" t="s">
        <v>3</v>
      </c>
      <c r="N22" s="21" t="s">
        <v>43</v>
      </c>
      <c r="O22" s="16" t="s">
        <v>2</v>
      </c>
    </row>
    <row r="23" ht="121.5" customHeight="1">
      <c r="A23" s="14" t="s">
        <v>162</v>
      </c>
      <c r="B23" s="15" t="s">
        <v>35</v>
      </c>
      <c r="C23" s="16" t="s">
        <v>126</v>
      </c>
      <c r="D23" s="17" t="s">
        <v>0</v>
      </c>
      <c r="E23" s="19" t="s">
        <v>163</v>
      </c>
      <c r="F23" s="21" t="s">
        <v>164</v>
      </c>
      <c r="G23" s="23" t="s">
        <v>165</v>
      </c>
      <c r="H23" s="24" t="s">
        <v>166</v>
      </c>
      <c r="I23" s="16" t="s">
        <v>167</v>
      </c>
      <c r="J23" s="21" t="s">
        <v>35</v>
      </c>
      <c r="K23" s="28" t="s">
        <v>43</v>
      </c>
      <c r="L23" s="15" t="s">
        <v>9</v>
      </c>
      <c r="M23" s="16" t="s">
        <v>3</v>
      </c>
      <c r="N23" s="21" t="s">
        <v>43</v>
      </c>
      <c r="O23" s="16" t="s">
        <v>2</v>
      </c>
    </row>
    <row r="24" ht="121.5" customHeight="1">
      <c r="A24" s="31" t="s">
        <v>168</v>
      </c>
      <c r="B24" s="15" t="s">
        <v>35</v>
      </c>
      <c r="C24" s="16" t="s">
        <v>169</v>
      </c>
      <c r="D24" s="17" t="s">
        <v>0</v>
      </c>
      <c r="E24" s="19" t="s">
        <v>38</v>
      </c>
      <c r="F24" s="21" t="s">
        <v>170</v>
      </c>
      <c r="G24" s="23" t="s">
        <v>171</v>
      </c>
      <c r="H24" s="24" t="s">
        <v>172</v>
      </c>
      <c r="I24" s="16" t="s">
        <v>42</v>
      </c>
      <c r="J24" s="21" t="s">
        <v>35</v>
      </c>
      <c r="K24" s="28" t="s">
        <v>43</v>
      </c>
      <c r="L24" s="15" t="s">
        <v>9</v>
      </c>
      <c r="M24" s="16" t="s">
        <v>3</v>
      </c>
      <c r="N24" s="21" t="s">
        <v>43</v>
      </c>
      <c r="O24" s="16" t="s">
        <v>2</v>
      </c>
    </row>
    <row r="25" ht="121.5" customHeight="1">
      <c r="A25" s="14" t="s">
        <v>173</v>
      </c>
      <c r="B25" s="15" t="s">
        <v>35</v>
      </c>
      <c r="C25" s="16" t="s">
        <v>169</v>
      </c>
      <c r="D25" s="17" t="s">
        <v>0</v>
      </c>
      <c r="E25" s="19" t="s">
        <v>45</v>
      </c>
      <c r="F25" s="21" t="s">
        <v>174</v>
      </c>
      <c r="G25" s="23" t="s">
        <v>171</v>
      </c>
      <c r="H25" s="24" t="s">
        <v>47</v>
      </c>
      <c r="I25" s="16" t="s">
        <v>48</v>
      </c>
      <c r="J25" s="21" t="s">
        <v>35</v>
      </c>
      <c r="K25" s="28" t="s">
        <v>43</v>
      </c>
      <c r="L25" s="15" t="s">
        <v>9</v>
      </c>
      <c r="M25" s="16" t="s">
        <v>3</v>
      </c>
      <c r="N25" s="21" t="s">
        <v>43</v>
      </c>
      <c r="O25" s="16" t="s">
        <v>2</v>
      </c>
    </row>
    <row r="26" ht="121.5" customHeight="1">
      <c r="A26" s="31" t="s">
        <v>175</v>
      </c>
      <c r="B26" s="15" t="s">
        <v>35</v>
      </c>
      <c r="C26" s="16" t="s">
        <v>169</v>
      </c>
      <c r="D26" s="17" t="s">
        <v>0</v>
      </c>
      <c r="E26" s="19" t="s">
        <v>51</v>
      </c>
      <c r="F26" s="21" t="s">
        <v>176</v>
      </c>
      <c r="G26" s="23" t="s">
        <v>53</v>
      </c>
      <c r="H26" s="24" t="s">
        <v>177</v>
      </c>
      <c r="I26" s="16" t="s">
        <v>55</v>
      </c>
      <c r="J26" s="21" t="s">
        <v>35</v>
      </c>
      <c r="K26" s="28" t="s">
        <v>43</v>
      </c>
      <c r="L26" s="15" t="s">
        <v>9</v>
      </c>
      <c r="M26" s="16" t="s">
        <v>3</v>
      </c>
      <c r="N26" s="21" t="s">
        <v>43</v>
      </c>
      <c r="O26" s="16" t="s">
        <v>2</v>
      </c>
    </row>
    <row r="27" ht="121.5" customHeight="1">
      <c r="A27" s="14" t="s">
        <v>178</v>
      </c>
      <c r="B27" s="15" t="s">
        <v>35</v>
      </c>
      <c r="C27" s="16" t="s">
        <v>169</v>
      </c>
      <c r="D27" s="17" t="s">
        <v>0</v>
      </c>
      <c r="E27" s="19" t="s">
        <v>57</v>
      </c>
      <c r="F27" s="21" t="s">
        <v>179</v>
      </c>
      <c r="G27" s="23" t="s">
        <v>53</v>
      </c>
      <c r="H27" s="24" t="s">
        <v>180</v>
      </c>
      <c r="I27" s="16" t="s">
        <v>181</v>
      </c>
      <c r="J27" s="21" t="s">
        <v>35</v>
      </c>
      <c r="K27" s="28" t="s">
        <v>43</v>
      </c>
      <c r="L27" s="15" t="s">
        <v>9</v>
      </c>
      <c r="M27" s="16" t="s">
        <v>3</v>
      </c>
      <c r="N27" s="21" t="s">
        <v>43</v>
      </c>
      <c r="O27" s="16" t="s">
        <v>2</v>
      </c>
    </row>
    <row r="28" ht="121.5" customHeight="1">
      <c r="A28" s="31" t="s">
        <v>182</v>
      </c>
      <c r="B28" s="15" t="s">
        <v>35</v>
      </c>
      <c r="C28" s="16" t="s">
        <v>169</v>
      </c>
      <c r="D28" s="17" t="s">
        <v>0</v>
      </c>
      <c r="E28" s="19" t="s">
        <v>183</v>
      </c>
      <c r="F28" s="21" t="s">
        <v>184</v>
      </c>
      <c r="G28" s="23" t="s">
        <v>185</v>
      </c>
      <c r="H28" s="24" t="s">
        <v>186</v>
      </c>
      <c r="I28" s="16" t="s">
        <v>187</v>
      </c>
      <c r="J28" s="21" t="s">
        <v>35</v>
      </c>
      <c r="K28" s="28" t="s">
        <v>43</v>
      </c>
      <c r="L28" s="15" t="s">
        <v>9</v>
      </c>
      <c r="M28" s="16" t="s">
        <v>3</v>
      </c>
      <c r="N28" s="21" t="s">
        <v>43</v>
      </c>
      <c r="O28" s="16" t="s">
        <v>2</v>
      </c>
    </row>
    <row r="29" ht="121.5" customHeight="1">
      <c r="A29" s="14" t="s">
        <v>188</v>
      </c>
      <c r="B29" s="15" t="s">
        <v>35</v>
      </c>
      <c r="C29" s="16" t="s">
        <v>169</v>
      </c>
      <c r="D29" s="17" t="s">
        <v>0</v>
      </c>
      <c r="E29" s="19" t="s">
        <v>189</v>
      </c>
      <c r="F29" s="21" t="s">
        <v>190</v>
      </c>
      <c r="G29" s="23" t="s">
        <v>191</v>
      </c>
      <c r="H29" s="24" t="s">
        <v>192</v>
      </c>
      <c r="I29" s="16" t="s">
        <v>193</v>
      </c>
      <c r="J29" s="21" t="s">
        <v>35</v>
      </c>
      <c r="K29" s="28" t="s">
        <v>43</v>
      </c>
      <c r="L29" s="15" t="s">
        <v>9</v>
      </c>
      <c r="M29" s="16" t="s">
        <v>3</v>
      </c>
      <c r="N29" s="21" t="s">
        <v>43</v>
      </c>
      <c r="O29" s="16" t="s">
        <v>2</v>
      </c>
    </row>
    <row r="30" ht="121.5" customHeight="1">
      <c r="A30" s="31" t="s">
        <v>194</v>
      </c>
      <c r="B30" s="15" t="s">
        <v>35</v>
      </c>
      <c r="C30" s="16" t="s">
        <v>195</v>
      </c>
      <c r="D30" s="17" t="s">
        <v>0</v>
      </c>
      <c r="E30" s="19" t="s">
        <v>196</v>
      </c>
      <c r="F30" s="21" t="s">
        <v>197</v>
      </c>
      <c r="G30" s="23" t="s">
        <v>198</v>
      </c>
      <c r="H30" s="24" t="s">
        <v>199</v>
      </c>
      <c r="I30" s="16" t="s">
        <v>200</v>
      </c>
      <c r="J30" s="21" t="s">
        <v>35</v>
      </c>
      <c r="K30" s="28" t="s">
        <v>43</v>
      </c>
      <c r="L30" s="15" t="s">
        <v>9</v>
      </c>
      <c r="M30" s="16" t="s">
        <v>3</v>
      </c>
      <c r="N30" s="21" t="s">
        <v>43</v>
      </c>
      <c r="O30" s="16" t="s">
        <v>2</v>
      </c>
    </row>
    <row r="31" ht="121.5" customHeight="1">
      <c r="A31" s="14" t="s">
        <v>201</v>
      </c>
      <c r="B31" s="15" t="s">
        <v>35</v>
      </c>
      <c r="C31" s="16" t="s">
        <v>195</v>
      </c>
      <c r="D31" s="17" t="s">
        <v>0</v>
      </c>
      <c r="E31" s="19" t="s">
        <v>133</v>
      </c>
      <c r="F31" s="21" t="s">
        <v>202</v>
      </c>
      <c r="G31" s="23" t="s">
        <v>141</v>
      </c>
      <c r="H31" s="24" t="s">
        <v>203</v>
      </c>
      <c r="I31" s="16" t="s">
        <v>204</v>
      </c>
      <c r="J31" s="21" t="s">
        <v>35</v>
      </c>
      <c r="K31" s="28" t="s">
        <v>43</v>
      </c>
      <c r="L31" s="15" t="s">
        <v>9</v>
      </c>
      <c r="M31" s="16" t="s">
        <v>3</v>
      </c>
      <c r="N31" s="21" t="s">
        <v>43</v>
      </c>
      <c r="O31" s="16" t="s">
        <v>2</v>
      </c>
    </row>
    <row r="32" ht="121.5" customHeight="1">
      <c r="A32" s="31" t="s">
        <v>205</v>
      </c>
      <c r="B32" s="15" t="s">
        <v>35</v>
      </c>
      <c r="C32" s="16" t="s">
        <v>195</v>
      </c>
      <c r="D32" s="17" t="s">
        <v>0</v>
      </c>
      <c r="E32" s="19" t="s">
        <v>206</v>
      </c>
      <c r="F32" s="21" t="s">
        <v>207</v>
      </c>
      <c r="G32" s="23" t="s">
        <v>208</v>
      </c>
      <c r="H32" s="24" t="s">
        <v>209</v>
      </c>
      <c r="I32" s="16" t="s">
        <v>143</v>
      </c>
      <c r="J32" s="21" t="s">
        <v>35</v>
      </c>
      <c r="K32" s="28" t="s">
        <v>43</v>
      </c>
      <c r="L32" s="15" t="s">
        <v>9</v>
      </c>
      <c r="M32" s="16" t="s">
        <v>3</v>
      </c>
      <c r="N32" s="21" t="s">
        <v>43</v>
      </c>
      <c r="O32" s="16" t="s">
        <v>2</v>
      </c>
    </row>
    <row r="33" ht="121.5" customHeight="1">
      <c r="A33" s="14" t="s">
        <v>210</v>
      </c>
      <c r="B33" s="15" t="s">
        <v>35</v>
      </c>
      <c r="C33" s="16" t="s">
        <v>195</v>
      </c>
      <c r="D33" s="17" t="s">
        <v>0</v>
      </c>
      <c r="E33" s="19" t="s">
        <v>211</v>
      </c>
      <c r="F33" s="21" t="s">
        <v>212</v>
      </c>
      <c r="G33" s="23" t="s">
        <v>141</v>
      </c>
      <c r="H33" s="24" t="s">
        <v>213</v>
      </c>
      <c r="I33" s="16" t="s">
        <v>214</v>
      </c>
      <c r="J33" s="21" t="s">
        <v>35</v>
      </c>
      <c r="K33" s="28" t="s">
        <v>43</v>
      </c>
      <c r="L33" s="15" t="s">
        <v>9</v>
      </c>
      <c r="M33" s="16" t="s">
        <v>3</v>
      </c>
      <c r="N33" s="21" t="s">
        <v>43</v>
      </c>
      <c r="O33" s="16" t="s">
        <v>2</v>
      </c>
    </row>
    <row r="34" ht="121.5" customHeight="1">
      <c r="A34" s="31" t="s">
        <v>215</v>
      </c>
      <c r="B34" s="15" t="s">
        <v>35</v>
      </c>
      <c r="C34" s="16" t="s">
        <v>195</v>
      </c>
      <c r="D34" s="17" t="s">
        <v>0</v>
      </c>
      <c r="E34" s="19" t="s">
        <v>216</v>
      </c>
      <c r="F34" s="21" t="s">
        <v>217</v>
      </c>
      <c r="G34" s="23" t="s">
        <v>218</v>
      </c>
      <c r="H34" s="24" t="s">
        <v>219</v>
      </c>
      <c r="I34" s="16" t="s">
        <v>220</v>
      </c>
      <c r="J34" s="21" t="s">
        <v>35</v>
      </c>
      <c r="K34" s="28" t="s">
        <v>43</v>
      </c>
      <c r="L34" s="15" t="s">
        <v>9</v>
      </c>
      <c r="M34" s="16" t="s">
        <v>3</v>
      </c>
      <c r="N34" s="21" t="s">
        <v>43</v>
      </c>
      <c r="O34" s="16" t="s">
        <v>2</v>
      </c>
    </row>
    <row r="35" ht="121.5" customHeight="1">
      <c r="A35" s="14" t="s">
        <v>221</v>
      </c>
      <c r="B35" s="15" t="s">
        <v>35</v>
      </c>
      <c r="C35" s="16" t="s">
        <v>195</v>
      </c>
      <c r="D35" s="17" t="s">
        <v>0</v>
      </c>
      <c r="E35" s="19" t="s">
        <v>222</v>
      </c>
      <c r="F35" s="21" t="s">
        <v>223</v>
      </c>
      <c r="G35" s="23" t="s">
        <v>224</v>
      </c>
      <c r="H35" s="24" t="s">
        <v>225</v>
      </c>
      <c r="I35" s="16" t="s">
        <v>226</v>
      </c>
      <c r="J35" s="21" t="s">
        <v>35</v>
      </c>
      <c r="K35" s="28" t="s">
        <v>43</v>
      </c>
      <c r="L35" s="15" t="s">
        <v>9</v>
      </c>
      <c r="M35" s="16" t="s">
        <v>3</v>
      </c>
      <c r="N35" s="21" t="s">
        <v>43</v>
      </c>
      <c r="O35" s="16" t="s">
        <v>2</v>
      </c>
    </row>
    <row r="36" ht="121.5" customHeight="1">
      <c r="A36" s="31" t="s">
        <v>227</v>
      </c>
      <c r="B36" s="15" t="s">
        <v>35</v>
      </c>
      <c r="C36" s="16" t="s">
        <v>195</v>
      </c>
      <c r="D36" s="17" t="s">
        <v>0</v>
      </c>
      <c r="E36" s="19" t="s">
        <v>228</v>
      </c>
      <c r="F36" s="21" t="s">
        <v>229</v>
      </c>
      <c r="G36" s="23" t="s">
        <v>230</v>
      </c>
      <c r="H36" s="24" t="s">
        <v>231</v>
      </c>
      <c r="I36" s="16" t="s">
        <v>232</v>
      </c>
      <c r="J36" s="21" t="s">
        <v>35</v>
      </c>
      <c r="K36" s="28" t="s">
        <v>43</v>
      </c>
      <c r="L36" s="15" t="s">
        <v>9</v>
      </c>
      <c r="M36" s="16" t="s">
        <v>3</v>
      </c>
      <c r="N36" s="21" t="s">
        <v>43</v>
      </c>
      <c r="O36" s="16" t="s">
        <v>2</v>
      </c>
    </row>
    <row r="37" ht="121.5" customHeight="1">
      <c r="A37" s="14" t="s">
        <v>233</v>
      </c>
      <c r="B37" s="15" t="s">
        <v>35</v>
      </c>
      <c r="C37" s="16" t="s">
        <v>195</v>
      </c>
      <c r="D37" s="17" t="s">
        <v>0</v>
      </c>
      <c r="E37" s="19" t="s">
        <v>234</v>
      </c>
      <c r="F37" s="21" t="s">
        <v>235</v>
      </c>
      <c r="G37" s="23" t="s">
        <v>236</v>
      </c>
      <c r="H37" s="24" t="s">
        <v>237</v>
      </c>
      <c r="I37" s="16" t="s">
        <v>238</v>
      </c>
      <c r="J37" s="21" t="s">
        <v>35</v>
      </c>
      <c r="K37" s="28" t="s">
        <v>43</v>
      </c>
      <c r="L37" s="15" t="s">
        <v>9</v>
      </c>
      <c r="M37" s="16" t="s">
        <v>3</v>
      </c>
      <c r="N37" s="21" t="s">
        <v>43</v>
      </c>
      <c r="O37" s="16" t="s">
        <v>2</v>
      </c>
    </row>
    <row r="38" ht="121.5" customHeight="1">
      <c r="A38" s="31" t="s">
        <v>239</v>
      </c>
      <c r="B38" s="15" t="s">
        <v>35</v>
      </c>
      <c r="C38" s="16" t="s">
        <v>240</v>
      </c>
      <c r="D38" s="17" t="s">
        <v>0</v>
      </c>
      <c r="E38" s="19" t="s">
        <v>241</v>
      </c>
      <c r="F38" s="21" t="s">
        <v>242</v>
      </c>
      <c r="G38" s="23" t="s">
        <v>243</v>
      </c>
      <c r="H38" s="24" t="s">
        <v>244</v>
      </c>
      <c r="I38" s="16" t="s">
        <v>245</v>
      </c>
      <c r="J38" s="21" t="s">
        <v>35</v>
      </c>
      <c r="K38" s="28" t="s">
        <v>43</v>
      </c>
      <c r="L38" s="15" t="s">
        <v>9</v>
      </c>
      <c r="M38" s="16" t="s">
        <v>3</v>
      </c>
      <c r="N38" s="21" t="s">
        <v>43</v>
      </c>
      <c r="O38" s="16" t="s">
        <v>2</v>
      </c>
    </row>
    <row r="39" ht="121.5" customHeight="1">
      <c r="A39" s="14" t="s">
        <v>246</v>
      </c>
      <c r="B39" s="15" t="s">
        <v>35</v>
      </c>
      <c r="C39" s="16" t="s">
        <v>240</v>
      </c>
      <c r="D39" s="17" t="s">
        <v>0</v>
      </c>
      <c r="E39" s="19" t="s">
        <v>247</v>
      </c>
      <c r="F39" s="21" t="s">
        <v>248</v>
      </c>
      <c r="G39" s="23" t="s">
        <v>249</v>
      </c>
      <c r="H39" s="24" t="s">
        <v>250</v>
      </c>
      <c r="I39" s="16" t="s">
        <v>251</v>
      </c>
      <c r="J39" s="21" t="s">
        <v>35</v>
      </c>
      <c r="K39" s="28" t="s">
        <v>43</v>
      </c>
      <c r="L39" s="15" t="s">
        <v>9</v>
      </c>
      <c r="M39" s="16" t="s">
        <v>3</v>
      </c>
      <c r="N39" s="21" t="s">
        <v>43</v>
      </c>
      <c r="O39" s="16" t="s">
        <v>2</v>
      </c>
    </row>
    <row r="40" ht="121.5" customHeight="1">
      <c r="A40" s="31" t="s">
        <v>252</v>
      </c>
      <c r="B40" s="15" t="s">
        <v>35</v>
      </c>
      <c r="C40" s="16" t="s">
        <v>240</v>
      </c>
      <c r="D40" s="17" t="s">
        <v>0</v>
      </c>
      <c r="E40" s="19" t="s">
        <v>253</v>
      </c>
      <c r="F40" s="21" t="s">
        <v>254</v>
      </c>
      <c r="G40" s="23" t="s">
        <v>255</v>
      </c>
      <c r="H40" s="24" t="s">
        <v>256</v>
      </c>
      <c r="I40" s="16" t="s">
        <v>257</v>
      </c>
      <c r="J40" s="21" t="s">
        <v>35</v>
      </c>
      <c r="K40" s="28" t="s">
        <v>43</v>
      </c>
      <c r="L40" s="15" t="s">
        <v>9</v>
      </c>
      <c r="M40" s="16" t="s">
        <v>3</v>
      </c>
      <c r="N40" s="21" t="s">
        <v>43</v>
      </c>
      <c r="O40" s="16" t="s">
        <v>2</v>
      </c>
    </row>
    <row r="41" ht="121.5" customHeight="1">
      <c r="A41" s="14" t="s">
        <v>258</v>
      </c>
      <c r="B41" s="15" t="s">
        <v>35</v>
      </c>
      <c r="C41" s="16" t="s">
        <v>240</v>
      </c>
      <c r="D41" s="17" t="s">
        <v>0</v>
      </c>
      <c r="E41" s="19" t="s">
        <v>259</v>
      </c>
      <c r="F41" s="21" t="s">
        <v>260</v>
      </c>
      <c r="G41" s="23" t="s">
        <v>261</v>
      </c>
      <c r="H41" s="24" t="s">
        <v>262</v>
      </c>
      <c r="I41" s="16" t="s">
        <v>263</v>
      </c>
      <c r="J41" s="21" t="s">
        <v>35</v>
      </c>
      <c r="K41" s="28" t="s">
        <v>43</v>
      </c>
      <c r="L41" s="15" t="s">
        <v>9</v>
      </c>
      <c r="M41" s="16" t="s">
        <v>3</v>
      </c>
      <c r="N41" s="21" t="s">
        <v>43</v>
      </c>
      <c r="O41" s="16" t="s">
        <v>2</v>
      </c>
    </row>
    <row r="42" ht="121.5" customHeight="1">
      <c r="A42" s="31" t="s">
        <v>264</v>
      </c>
      <c r="B42" s="15" t="s">
        <v>35</v>
      </c>
      <c r="C42" s="16" t="s">
        <v>240</v>
      </c>
      <c r="D42" s="17" t="s">
        <v>0</v>
      </c>
      <c r="E42" s="19" t="s">
        <v>265</v>
      </c>
      <c r="F42" s="21" t="s">
        <v>266</v>
      </c>
      <c r="G42" s="23" t="s">
        <v>268</v>
      </c>
      <c r="H42" s="24" t="s">
        <v>269</v>
      </c>
      <c r="I42" s="16" t="s">
        <v>270</v>
      </c>
      <c r="J42" s="21" t="s">
        <v>35</v>
      </c>
      <c r="K42" s="28" t="s">
        <v>43</v>
      </c>
      <c r="L42" s="15" t="s">
        <v>9</v>
      </c>
      <c r="M42" s="16" t="s">
        <v>3</v>
      </c>
      <c r="N42" s="21" t="s">
        <v>43</v>
      </c>
      <c r="O42" s="16" t="s">
        <v>2</v>
      </c>
    </row>
    <row r="43" ht="121.5" customHeight="1">
      <c r="A43" s="14" t="s">
        <v>271</v>
      </c>
      <c r="B43" s="15" t="s">
        <v>35</v>
      </c>
      <c r="C43" s="16" t="s">
        <v>240</v>
      </c>
      <c r="D43" s="17" t="s">
        <v>0</v>
      </c>
      <c r="E43" s="19" t="s">
        <v>272</v>
      </c>
      <c r="F43" s="21" t="s">
        <v>273</v>
      </c>
      <c r="G43" s="23" t="s">
        <v>274</v>
      </c>
      <c r="H43" s="24" t="s">
        <v>275</v>
      </c>
      <c r="I43" s="16" t="s">
        <v>276</v>
      </c>
      <c r="J43" s="21" t="s">
        <v>35</v>
      </c>
      <c r="K43" s="28" t="s">
        <v>43</v>
      </c>
      <c r="L43" s="15" t="s">
        <v>9</v>
      </c>
      <c r="M43" s="16" t="s">
        <v>3</v>
      </c>
      <c r="N43" s="21" t="s">
        <v>43</v>
      </c>
      <c r="O43" s="16" t="s">
        <v>2</v>
      </c>
    </row>
    <row r="44" ht="121.5" customHeight="1">
      <c r="A44" s="31" t="s">
        <v>277</v>
      </c>
      <c r="B44" s="15" t="s">
        <v>35</v>
      </c>
      <c r="C44" s="16" t="s">
        <v>240</v>
      </c>
      <c r="D44" s="17" t="s">
        <v>0</v>
      </c>
      <c r="E44" s="19" t="s">
        <v>278</v>
      </c>
      <c r="F44" s="21" t="s">
        <v>279</v>
      </c>
      <c r="G44" s="23" t="s">
        <v>280</v>
      </c>
      <c r="H44" s="24" t="s">
        <v>281</v>
      </c>
      <c r="I44" s="16" t="s">
        <v>280</v>
      </c>
      <c r="J44" s="21" t="s">
        <v>35</v>
      </c>
      <c r="K44" s="28" t="s">
        <v>43</v>
      </c>
      <c r="L44" s="15" t="s">
        <v>9</v>
      </c>
      <c r="M44" s="16" t="s">
        <v>3</v>
      </c>
      <c r="N44" s="21" t="s">
        <v>43</v>
      </c>
      <c r="O44" s="16" t="s">
        <v>2</v>
      </c>
    </row>
    <row r="45" ht="121.5" customHeight="1">
      <c r="A45" s="14" t="s">
        <v>282</v>
      </c>
      <c r="B45" s="15" t="s">
        <v>35</v>
      </c>
      <c r="C45" s="16" t="s">
        <v>240</v>
      </c>
      <c r="D45" s="17" t="s">
        <v>0</v>
      </c>
      <c r="E45" s="19" t="s">
        <v>283</v>
      </c>
      <c r="F45" s="21" t="s">
        <v>284</v>
      </c>
      <c r="G45" s="23" t="s">
        <v>285</v>
      </c>
      <c r="H45" s="24" t="s">
        <v>286</v>
      </c>
      <c r="I45" s="16" t="s">
        <v>238</v>
      </c>
      <c r="J45" s="21" t="s">
        <v>35</v>
      </c>
      <c r="K45" s="28" t="s">
        <v>43</v>
      </c>
      <c r="L45" s="15" t="s">
        <v>9</v>
      </c>
      <c r="M45" s="16" t="s">
        <v>3</v>
      </c>
      <c r="N45" s="21" t="s">
        <v>43</v>
      </c>
      <c r="O45" s="16" t="s">
        <v>2</v>
      </c>
    </row>
    <row r="46" ht="121.5" customHeight="1">
      <c r="A46" s="31" t="s">
        <v>287</v>
      </c>
      <c r="B46" s="15" t="s">
        <v>35</v>
      </c>
      <c r="C46" s="16" t="s">
        <v>288</v>
      </c>
      <c r="D46" s="17" t="s">
        <v>0</v>
      </c>
      <c r="E46" s="19" t="s">
        <v>289</v>
      </c>
      <c r="F46" s="21" t="s">
        <v>290</v>
      </c>
      <c r="G46" s="23" t="s">
        <v>291</v>
      </c>
      <c r="H46" s="24" t="s">
        <v>292</v>
      </c>
      <c r="I46" s="16" t="s">
        <v>293</v>
      </c>
      <c r="J46" s="21" t="s">
        <v>35</v>
      </c>
      <c r="K46" s="28" t="s">
        <v>43</v>
      </c>
      <c r="L46" s="15" t="s">
        <v>9</v>
      </c>
      <c r="M46" s="16" t="s">
        <v>3</v>
      </c>
      <c r="N46" s="21" t="s">
        <v>43</v>
      </c>
      <c r="O46" s="16" t="s">
        <v>2</v>
      </c>
    </row>
    <row r="47" ht="121.5" customHeight="1">
      <c r="A47" s="14" t="s">
        <v>294</v>
      </c>
      <c r="B47" s="15" t="s">
        <v>35</v>
      </c>
      <c r="C47" s="16" t="s">
        <v>288</v>
      </c>
      <c r="D47" s="17" t="s">
        <v>0</v>
      </c>
      <c r="E47" s="19" t="s">
        <v>295</v>
      </c>
      <c r="F47" s="21" t="s">
        <v>296</v>
      </c>
      <c r="G47" s="23" t="s">
        <v>297</v>
      </c>
      <c r="H47" s="24" t="s">
        <v>298</v>
      </c>
      <c r="I47" s="16" t="s">
        <v>299</v>
      </c>
      <c r="J47" s="21" t="s">
        <v>35</v>
      </c>
      <c r="K47" s="28" t="s">
        <v>43</v>
      </c>
      <c r="L47" s="15" t="s">
        <v>9</v>
      </c>
      <c r="M47" s="16" t="s">
        <v>3</v>
      </c>
      <c r="N47" s="21" t="s">
        <v>43</v>
      </c>
      <c r="O47" s="16" t="s">
        <v>2</v>
      </c>
    </row>
    <row r="48" ht="121.5" customHeight="1">
      <c r="A48" s="31" t="s">
        <v>300</v>
      </c>
      <c r="B48" s="15" t="s">
        <v>35</v>
      </c>
      <c r="C48" s="16" t="s">
        <v>288</v>
      </c>
      <c r="D48" s="17" t="s">
        <v>0</v>
      </c>
      <c r="E48" s="19" t="s">
        <v>301</v>
      </c>
      <c r="F48" s="21" t="s">
        <v>302</v>
      </c>
      <c r="G48" s="23" t="s">
        <v>303</v>
      </c>
      <c r="H48" s="24" t="s">
        <v>304</v>
      </c>
      <c r="I48" s="16" t="s">
        <v>305</v>
      </c>
      <c r="J48" s="21" t="s">
        <v>35</v>
      </c>
      <c r="K48" s="28" t="s">
        <v>43</v>
      </c>
      <c r="L48" s="15" t="s">
        <v>9</v>
      </c>
      <c r="M48" s="16" t="s">
        <v>3</v>
      </c>
      <c r="N48" s="21" t="s">
        <v>43</v>
      </c>
      <c r="O48" s="16" t="s">
        <v>2</v>
      </c>
    </row>
    <row r="49" ht="121.5" customHeight="1">
      <c r="A49" s="14" t="s">
        <v>306</v>
      </c>
      <c r="B49" s="15" t="s">
        <v>35</v>
      </c>
      <c r="C49" s="16" t="s">
        <v>288</v>
      </c>
      <c r="D49" s="17" t="s">
        <v>0</v>
      </c>
      <c r="E49" s="19" t="s">
        <v>307</v>
      </c>
      <c r="F49" s="21" t="s">
        <v>308</v>
      </c>
      <c r="G49" s="23" t="s">
        <v>309</v>
      </c>
      <c r="H49" s="24" t="s">
        <v>310</v>
      </c>
      <c r="I49" s="16" t="s">
        <v>311</v>
      </c>
      <c r="J49" s="21" t="s">
        <v>35</v>
      </c>
      <c r="K49" s="28" t="s">
        <v>43</v>
      </c>
      <c r="L49" s="15" t="s">
        <v>9</v>
      </c>
      <c r="M49" s="16" t="s">
        <v>3</v>
      </c>
      <c r="N49" s="21" t="s">
        <v>43</v>
      </c>
      <c r="O49" s="16" t="s">
        <v>2</v>
      </c>
    </row>
    <row r="50" ht="121.5" customHeight="1">
      <c r="A50" s="31" t="s">
        <v>312</v>
      </c>
      <c r="B50" s="15" t="s">
        <v>35</v>
      </c>
      <c r="C50" s="16" t="s">
        <v>288</v>
      </c>
      <c r="D50" s="17" t="s">
        <v>0</v>
      </c>
      <c r="E50" s="19" t="s">
        <v>313</v>
      </c>
      <c r="F50" s="21" t="s">
        <v>314</v>
      </c>
      <c r="G50" s="23" t="s">
        <v>315</v>
      </c>
      <c r="H50" s="24" t="s">
        <v>316</v>
      </c>
      <c r="I50" s="16" t="s">
        <v>317</v>
      </c>
      <c r="J50" s="21" t="s">
        <v>35</v>
      </c>
      <c r="K50" s="28" t="s">
        <v>43</v>
      </c>
      <c r="L50" s="15" t="s">
        <v>9</v>
      </c>
      <c r="M50" s="16" t="s">
        <v>3</v>
      </c>
      <c r="N50" s="21" t="s">
        <v>43</v>
      </c>
      <c r="O50" s="16" t="s">
        <v>2</v>
      </c>
    </row>
    <row r="51" ht="121.5" customHeight="1">
      <c r="A51" s="14" t="s">
        <v>318</v>
      </c>
      <c r="B51" s="15" t="s">
        <v>35</v>
      </c>
      <c r="C51" s="16" t="s">
        <v>288</v>
      </c>
      <c r="D51" s="17" t="s">
        <v>0</v>
      </c>
      <c r="E51" s="19" t="s">
        <v>319</v>
      </c>
      <c r="F51" s="21" t="s">
        <v>320</v>
      </c>
      <c r="G51" s="23" t="s">
        <v>321</v>
      </c>
      <c r="H51" s="24" t="s">
        <v>322</v>
      </c>
      <c r="I51" s="16" t="s">
        <v>323</v>
      </c>
      <c r="J51" s="21" t="s">
        <v>35</v>
      </c>
      <c r="K51" s="28" t="s">
        <v>43</v>
      </c>
      <c r="L51" s="15" t="s">
        <v>9</v>
      </c>
      <c r="M51" s="16" t="s">
        <v>3</v>
      </c>
      <c r="N51" s="21" t="s">
        <v>43</v>
      </c>
      <c r="O51" s="16" t="s">
        <v>2</v>
      </c>
    </row>
    <row r="52" ht="121.5" customHeight="1">
      <c r="A52" s="31" t="s">
        <v>324</v>
      </c>
      <c r="B52" s="15" t="s">
        <v>35</v>
      </c>
      <c r="C52" s="16" t="s">
        <v>288</v>
      </c>
      <c r="D52" s="17" t="s">
        <v>0</v>
      </c>
      <c r="E52" s="19" t="s">
        <v>325</v>
      </c>
      <c r="F52" s="21" t="s">
        <v>326</v>
      </c>
      <c r="G52" s="23" t="s">
        <v>327</v>
      </c>
      <c r="H52" s="24" t="s">
        <v>328</v>
      </c>
      <c r="I52" s="16" t="s">
        <v>329</v>
      </c>
      <c r="J52" s="21" t="s">
        <v>35</v>
      </c>
      <c r="K52" s="28" t="s">
        <v>43</v>
      </c>
      <c r="L52" s="15" t="s">
        <v>9</v>
      </c>
      <c r="M52" s="16" t="s">
        <v>3</v>
      </c>
      <c r="N52" s="21" t="s">
        <v>43</v>
      </c>
      <c r="O52" s="16" t="s">
        <v>2</v>
      </c>
    </row>
    <row r="53" ht="121.5" customHeight="1">
      <c r="A53" s="14" t="s">
        <v>330</v>
      </c>
      <c r="B53" s="15" t="s">
        <v>35</v>
      </c>
      <c r="C53" s="16" t="s">
        <v>288</v>
      </c>
      <c r="D53" s="17" t="s">
        <v>0</v>
      </c>
      <c r="E53" s="19" t="s">
        <v>331</v>
      </c>
      <c r="F53" s="21" t="s">
        <v>332</v>
      </c>
      <c r="G53" s="23" t="s">
        <v>333</v>
      </c>
      <c r="H53" s="24" t="s">
        <v>334</v>
      </c>
      <c r="I53" s="16" t="s">
        <v>335</v>
      </c>
      <c r="J53" s="21" t="s">
        <v>35</v>
      </c>
      <c r="K53" s="28" t="s">
        <v>43</v>
      </c>
      <c r="L53" s="15" t="s">
        <v>9</v>
      </c>
      <c r="M53" s="16" t="s">
        <v>3</v>
      </c>
      <c r="N53" s="21" t="s">
        <v>43</v>
      </c>
      <c r="O53" s="16" t="s">
        <v>2</v>
      </c>
    </row>
    <row r="54" ht="121.5" customHeight="1">
      <c r="A54" s="31" t="s">
        <v>336</v>
      </c>
      <c r="B54" s="15" t="s">
        <v>35</v>
      </c>
      <c r="C54" s="16" t="s">
        <v>337</v>
      </c>
      <c r="D54" s="17" t="s">
        <v>0</v>
      </c>
      <c r="E54" s="19" t="s">
        <v>338</v>
      </c>
      <c r="F54" s="21" t="s">
        <v>339</v>
      </c>
      <c r="G54" s="23" t="s">
        <v>340</v>
      </c>
      <c r="H54" s="24" t="s">
        <v>341</v>
      </c>
      <c r="I54" s="16" t="s">
        <v>342</v>
      </c>
      <c r="J54" s="21" t="s">
        <v>35</v>
      </c>
      <c r="K54" s="28" t="s">
        <v>43</v>
      </c>
      <c r="L54" s="15" t="s">
        <v>9</v>
      </c>
      <c r="M54" s="16" t="s">
        <v>3</v>
      </c>
      <c r="N54" s="21" t="s">
        <v>43</v>
      </c>
      <c r="O54" s="16" t="s">
        <v>2</v>
      </c>
    </row>
    <row r="55" ht="121.5" customHeight="1">
      <c r="A55" s="14" t="s">
        <v>343</v>
      </c>
      <c r="B55" s="15" t="s">
        <v>35</v>
      </c>
      <c r="C55" s="16" t="s">
        <v>337</v>
      </c>
      <c r="D55" s="17" t="s">
        <v>0</v>
      </c>
      <c r="E55" s="19" t="s">
        <v>344</v>
      </c>
      <c r="F55" s="21" t="s">
        <v>345</v>
      </c>
      <c r="G55" s="23" t="s">
        <v>346</v>
      </c>
      <c r="H55" s="24" t="s">
        <v>347</v>
      </c>
      <c r="I55" s="16" t="s">
        <v>348</v>
      </c>
      <c r="J55" s="21" t="s">
        <v>35</v>
      </c>
      <c r="K55" s="28" t="s">
        <v>43</v>
      </c>
      <c r="L55" s="15" t="s">
        <v>9</v>
      </c>
      <c r="M55" s="16" t="s">
        <v>3</v>
      </c>
      <c r="N55" s="21" t="s">
        <v>43</v>
      </c>
      <c r="O55" s="16" t="s">
        <v>2</v>
      </c>
    </row>
    <row r="56" ht="121.5" customHeight="1">
      <c r="A56" s="31" t="s">
        <v>349</v>
      </c>
      <c r="B56" s="15" t="s">
        <v>35</v>
      </c>
      <c r="C56" s="16" t="s">
        <v>337</v>
      </c>
      <c r="D56" s="17" t="s">
        <v>0</v>
      </c>
      <c r="E56" s="19" t="s">
        <v>350</v>
      </c>
      <c r="F56" s="21" t="s">
        <v>351</v>
      </c>
      <c r="G56" s="23" t="s">
        <v>346</v>
      </c>
      <c r="H56" s="24" t="s">
        <v>352</v>
      </c>
      <c r="I56" s="16" t="s">
        <v>353</v>
      </c>
      <c r="J56" s="21" t="s">
        <v>35</v>
      </c>
      <c r="K56" s="28" t="s">
        <v>43</v>
      </c>
      <c r="L56" s="15" t="s">
        <v>9</v>
      </c>
      <c r="M56" s="16" t="s">
        <v>3</v>
      </c>
      <c r="N56" s="21" t="s">
        <v>43</v>
      </c>
      <c r="O56" s="16" t="s">
        <v>2</v>
      </c>
    </row>
    <row r="57" ht="121.5" customHeight="1">
      <c r="A57" s="14" t="s">
        <v>354</v>
      </c>
      <c r="B57" s="15" t="s">
        <v>35</v>
      </c>
      <c r="C57" s="16" t="s">
        <v>337</v>
      </c>
      <c r="D57" s="17" t="s">
        <v>0</v>
      </c>
      <c r="E57" s="19" t="s">
        <v>355</v>
      </c>
      <c r="F57" s="21" t="s">
        <v>356</v>
      </c>
      <c r="G57" s="23" t="s">
        <v>357</v>
      </c>
      <c r="H57" s="24" t="s">
        <v>358</v>
      </c>
      <c r="I57" s="16" t="s">
        <v>73</v>
      </c>
      <c r="J57" s="21" t="s">
        <v>35</v>
      </c>
      <c r="K57" s="28" t="s">
        <v>43</v>
      </c>
      <c r="L57" s="15" t="s">
        <v>9</v>
      </c>
      <c r="M57" s="16" t="s">
        <v>3</v>
      </c>
      <c r="N57" s="21" t="s">
        <v>43</v>
      </c>
      <c r="O57" s="16" t="s">
        <v>2</v>
      </c>
    </row>
    <row r="58" ht="121.5" customHeight="1">
      <c r="A58" s="31" t="s">
        <v>359</v>
      </c>
      <c r="B58" s="15" t="s">
        <v>35</v>
      </c>
      <c r="C58" s="16" t="s">
        <v>337</v>
      </c>
      <c r="D58" s="17" t="s">
        <v>0</v>
      </c>
      <c r="E58" s="19" t="s">
        <v>360</v>
      </c>
      <c r="F58" s="21" t="s">
        <v>361</v>
      </c>
      <c r="G58" s="23" t="s">
        <v>346</v>
      </c>
      <c r="H58" s="24" t="s">
        <v>362</v>
      </c>
      <c r="I58" s="16" t="s">
        <v>363</v>
      </c>
      <c r="J58" s="21" t="s">
        <v>35</v>
      </c>
      <c r="K58" s="28" t="s">
        <v>43</v>
      </c>
      <c r="L58" s="15" t="s">
        <v>9</v>
      </c>
      <c r="M58" s="16" t="s">
        <v>3</v>
      </c>
      <c r="N58" s="21" t="s">
        <v>43</v>
      </c>
      <c r="O58" s="16" t="s">
        <v>2</v>
      </c>
    </row>
    <row r="59" ht="121.5" customHeight="1">
      <c r="A59" s="14" t="s">
        <v>364</v>
      </c>
      <c r="B59" s="15" t="s">
        <v>35</v>
      </c>
      <c r="C59" s="16" t="s">
        <v>337</v>
      </c>
      <c r="D59" s="17" t="s">
        <v>0</v>
      </c>
      <c r="E59" s="19" t="s">
        <v>365</v>
      </c>
      <c r="F59" s="21" t="s">
        <v>366</v>
      </c>
      <c r="G59" s="23" t="s">
        <v>367</v>
      </c>
      <c r="H59" s="24" t="s">
        <v>368</v>
      </c>
      <c r="I59" s="16" t="s">
        <v>369</v>
      </c>
      <c r="J59" s="21" t="s">
        <v>35</v>
      </c>
      <c r="K59" s="28" t="s">
        <v>43</v>
      </c>
      <c r="L59" s="15" t="s">
        <v>9</v>
      </c>
      <c r="M59" s="16" t="s">
        <v>3</v>
      </c>
      <c r="N59" s="21" t="s">
        <v>43</v>
      </c>
      <c r="O59" s="16" t="s">
        <v>2</v>
      </c>
    </row>
    <row r="60" ht="121.5" customHeight="1">
      <c r="A60" s="31" t="s">
        <v>370</v>
      </c>
      <c r="B60" s="15" t="s">
        <v>35</v>
      </c>
      <c r="C60" s="16" t="s">
        <v>337</v>
      </c>
      <c r="D60" s="17" t="s">
        <v>0</v>
      </c>
      <c r="E60" s="19" t="s">
        <v>371</v>
      </c>
      <c r="F60" s="21" t="s">
        <v>372</v>
      </c>
      <c r="G60" s="23" t="s">
        <v>373</v>
      </c>
      <c r="H60" s="24" t="s">
        <v>374</v>
      </c>
      <c r="I60" s="16" t="s">
        <v>375</v>
      </c>
      <c r="J60" s="21" t="s">
        <v>35</v>
      </c>
      <c r="K60" s="28" t="s">
        <v>43</v>
      </c>
      <c r="L60" s="15" t="s">
        <v>9</v>
      </c>
      <c r="M60" s="16" t="s">
        <v>3</v>
      </c>
      <c r="N60" s="21" t="s">
        <v>43</v>
      </c>
      <c r="O60" s="16" t="s">
        <v>2</v>
      </c>
    </row>
    <row r="61" ht="121.5" customHeight="1">
      <c r="A61" s="14" t="s">
        <v>376</v>
      </c>
      <c r="B61" s="15" t="s">
        <v>35</v>
      </c>
      <c r="C61" s="16" t="s">
        <v>337</v>
      </c>
      <c r="D61" s="17" t="s">
        <v>0</v>
      </c>
      <c r="E61" s="19" t="s">
        <v>377</v>
      </c>
      <c r="F61" s="21" t="s">
        <v>378</v>
      </c>
      <c r="G61" s="23" t="s">
        <v>367</v>
      </c>
      <c r="H61" s="24" t="s">
        <v>379</v>
      </c>
      <c r="I61" s="16" t="s">
        <v>380</v>
      </c>
      <c r="J61" s="21" t="s">
        <v>35</v>
      </c>
      <c r="K61" s="28" t="s">
        <v>43</v>
      </c>
      <c r="L61" s="15" t="s">
        <v>9</v>
      </c>
      <c r="M61" s="16" t="s">
        <v>3</v>
      </c>
      <c r="N61" s="21" t="s">
        <v>43</v>
      </c>
      <c r="O61" s="16" t="s">
        <v>2</v>
      </c>
    </row>
    <row r="62" ht="121.5" customHeight="1">
      <c r="A62" s="31" t="s">
        <v>381</v>
      </c>
      <c r="B62" s="15" t="s">
        <v>35</v>
      </c>
      <c r="C62" s="16" t="s">
        <v>337</v>
      </c>
      <c r="D62" s="17" t="s">
        <v>0</v>
      </c>
      <c r="E62" s="19" t="s">
        <v>382</v>
      </c>
      <c r="F62" s="21" t="s">
        <v>383</v>
      </c>
      <c r="G62" s="23" t="s">
        <v>346</v>
      </c>
      <c r="H62" s="24" t="s">
        <v>384</v>
      </c>
      <c r="I62" s="16" t="s">
        <v>385</v>
      </c>
      <c r="J62" s="21" t="s">
        <v>35</v>
      </c>
      <c r="K62" s="28" t="s">
        <v>43</v>
      </c>
      <c r="L62" s="15" t="s">
        <v>9</v>
      </c>
      <c r="M62" s="16" t="s">
        <v>3</v>
      </c>
      <c r="N62" s="21" t="s">
        <v>43</v>
      </c>
      <c r="O62" s="16" t="s">
        <v>2</v>
      </c>
    </row>
    <row r="63" ht="121.5" customHeight="1">
      <c r="A63" s="14" t="s">
        <v>386</v>
      </c>
      <c r="B63" s="15" t="s">
        <v>35</v>
      </c>
      <c r="C63" s="16" t="s">
        <v>387</v>
      </c>
      <c r="D63" s="17" t="s">
        <v>0</v>
      </c>
      <c r="E63" s="19" t="s">
        <v>388</v>
      </c>
      <c r="F63" s="21" t="s">
        <v>389</v>
      </c>
      <c r="G63" s="23" t="s">
        <v>390</v>
      </c>
      <c r="H63" s="24" t="s">
        <v>391</v>
      </c>
      <c r="I63" s="16" t="s">
        <v>392</v>
      </c>
      <c r="J63" s="21" t="s">
        <v>35</v>
      </c>
      <c r="K63" s="28" t="s">
        <v>43</v>
      </c>
      <c r="L63" s="15" t="s">
        <v>9</v>
      </c>
      <c r="M63" s="16" t="s">
        <v>3</v>
      </c>
      <c r="N63" s="21" t="s">
        <v>43</v>
      </c>
      <c r="O63" s="16" t="s">
        <v>2</v>
      </c>
    </row>
    <row r="64" ht="121.5" customHeight="1">
      <c r="A64" s="31" t="s">
        <v>393</v>
      </c>
      <c r="B64" s="15" t="s">
        <v>35</v>
      </c>
      <c r="C64" s="16" t="s">
        <v>387</v>
      </c>
      <c r="D64" s="17" t="s">
        <v>0</v>
      </c>
      <c r="E64" s="19" t="s">
        <v>394</v>
      </c>
      <c r="F64" s="21" t="s">
        <v>395</v>
      </c>
      <c r="G64" s="23" t="s">
        <v>396</v>
      </c>
      <c r="H64" s="24" t="s">
        <v>397</v>
      </c>
      <c r="I64" s="16" t="s">
        <v>398</v>
      </c>
      <c r="J64" s="21" t="s">
        <v>35</v>
      </c>
      <c r="K64" s="28" t="s">
        <v>43</v>
      </c>
      <c r="L64" s="15" t="s">
        <v>9</v>
      </c>
      <c r="M64" s="16" t="s">
        <v>3</v>
      </c>
      <c r="N64" s="21" t="s">
        <v>43</v>
      </c>
      <c r="O64" s="16" t="s">
        <v>2</v>
      </c>
    </row>
    <row r="65" ht="121.5" customHeight="1">
      <c r="A65" s="14" t="s">
        <v>399</v>
      </c>
      <c r="B65" s="15" t="s">
        <v>35</v>
      </c>
      <c r="C65" s="16" t="s">
        <v>387</v>
      </c>
      <c r="D65" s="17" t="s">
        <v>0</v>
      </c>
      <c r="E65" s="19" t="s">
        <v>400</v>
      </c>
      <c r="F65" s="21" t="s">
        <v>401</v>
      </c>
      <c r="G65" s="23" t="s">
        <v>402</v>
      </c>
      <c r="H65" s="24" t="s">
        <v>403</v>
      </c>
      <c r="I65" s="16" t="s">
        <v>404</v>
      </c>
      <c r="J65" s="21" t="s">
        <v>35</v>
      </c>
      <c r="K65" s="28" t="s">
        <v>43</v>
      </c>
      <c r="L65" s="15" t="s">
        <v>9</v>
      </c>
      <c r="M65" s="16" t="s">
        <v>3</v>
      </c>
      <c r="N65" s="21" t="s">
        <v>43</v>
      </c>
      <c r="O65" s="16" t="s">
        <v>2</v>
      </c>
    </row>
    <row r="66" ht="121.5" customHeight="1">
      <c r="A66" s="31" t="s">
        <v>405</v>
      </c>
      <c r="B66" s="15" t="s">
        <v>35</v>
      </c>
      <c r="C66" s="16" t="s">
        <v>387</v>
      </c>
      <c r="D66" s="17" t="s">
        <v>0</v>
      </c>
      <c r="E66" s="19" t="s">
        <v>407</v>
      </c>
      <c r="F66" s="21" t="s">
        <v>408</v>
      </c>
      <c r="G66" s="23" t="s">
        <v>409</v>
      </c>
      <c r="H66" s="24" t="s">
        <v>410</v>
      </c>
      <c r="I66" s="16" t="s">
        <v>411</v>
      </c>
      <c r="J66" s="21" t="s">
        <v>35</v>
      </c>
      <c r="K66" s="28" t="s">
        <v>43</v>
      </c>
      <c r="L66" s="15" t="s">
        <v>9</v>
      </c>
      <c r="M66" s="16" t="s">
        <v>3</v>
      </c>
      <c r="N66" s="21" t="s">
        <v>43</v>
      </c>
      <c r="O66" s="16" t="s">
        <v>2</v>
      </c>
    </row>
    <row r="67" ht="121.5" customHeight="1">
      <c r="A67" s="14" t="s">
        <v>412</v>
      </c>
      <c r="B67" s="15" t="s">
        <v>35</v>
      </c>
      <c r="C67" s="16" t="s">
        <v>387</v>
      </c>
      <c r="D67" s="17" t="s">
        <v>0</v>
      </c>
      <c r="E67" s="19" t="s">
        <v>413</v>
      </c>
      <c r="F67" s="21" t="s">
        <v>414</v>
      </c>
      <c r="G67" s="23" t="s">
        <v>415</v>
      </c>
      <c r="H67" s="24" t="s">
        <v>416</v>
      </c>
      <c r="I67" s="16" t="s">
        <v>417</v>
      </c>
      <c r="J67" s="21" t="s">
        <v>35</v>
      </c>
      <c r="K67" s="28" t="s">
        <v>43</v>
      </c>
      <c r="L67" s="15" t="s">
        <v>9</v>
      </c>
      <c r="M67" s="16" t="s">
        <v>3</v>
      </c>
      <c r="N67" s="21" t="s">
        <v>43</v>
      </c>
      <c r="O67" s="16" t="s">
        <v>2</v>
      </c>
    </row>
    <row r="68" ht="121.5" customHeight="1">
      <c r="A68" s="31" t="s">
        <v>418</v>
      </c>
      <c r="B68" s="15" t="s">
        <v>35</v>
      </c>
      <c r="C68" s="16" t="s">
        <v>387</v>
      </c>
      <c r="D68" s="17" t="s">
        <v>0</v>
      </c>
      <c r="E68" s="19" t="s">
        <v>419</v>
      </c>
      <c r="F68" s="21" t="s">
        <v>420</v>
      </c>
      <c r="G68" s="23" t="s">
        <v>421</v>
      </c>
      <c r="H68" s="24" t="s">
        <v>422</v>
      </c>
      <c r="I68" s="16" t="s">
        <v>423</v>
      </c>
      <c r="J68" s="21" t="s">
        <v>35</v>
      </c>
      <c r="K68" s="28" t="s">
        <v>43</v>
      </c>
      <c r="L68" s="15" t="s">
        <v>9</v>
      </c>
      <c r="M68" s="16" t="s">
        <v>3</v>
      </c>
      <c r="N68" s="21" t="s">
        <v>43</v>
      </c>
      <c r="O68" s="16" t="s">
        <v>2</v>
      </c>
    </row>
    <row r="69" ht="121.5" customHeight="1">
      <c r="A69" s="14" t="s">
        <v>424</v>
      </c>
      <c r="B69" s="15" t="s">
        <v>35</v>
      </c>
      <c r="C69" s="16" t="s">
        <v>387</v>
      </c>
      <c r="D69" s="17" t="s">
        <v>0</v>
      </c>
      <c r="E69" s="19" t="s">
        <v>425</v>
      </c>
      <c r="F69" s="21" t="s">
        <v>426</v>
      </c>
      <c r="G69" s="23" t="s">
        <v>427</v>
      </c>
      <c r="H69" s="24" t="s">
        <v>428</v>
      </c>
      <c r="I69" s="16" t="s">
        <v>429</v>
      </c>
      <c r="J69" s="21" t="s">
        <v>35</v>
      </c>
      <c r="K69" s="28" t="s">
        <v>43</v>
      </c>
      <c r="L69" s="15" t="s">
        <v>9</v>
      </c>
      <c r="M69" s="16" t="s">
        <v>3</v>
      </c>
      <c r="N69" s="21" t="s">
        <v>43</v>
      </c>
      <c r="O69" s="16" t="s">
        <v>2</v>
      </c>
    </row>
    <row r="70" ht="121.5" customHeight="1">
      <c r="A70" s="31" t="s">
        <v>431</v>
      </c>
      <c r="B70" s="15" t="s">
        <v>35</v>
      </c>
      <c r="C70" s="16" t="s">
        <v>387</v>
      </c>
      <c r="D70" s="17" t="s">
        <v>0</v>
      </c>
      <c r="E70" s="19" t="s">
        <v>432</v>
      </c>
      <c r="F70" s="21" t="s">
        <v>433</v>
      </c>
      <c r="G70" s="23" t="s">
        <v>434</v>
      </c>
      <c r="H70" s="24" t="s">
        <v>435</v>
      </c>
      <c r="I70" s="16" t="s">
        <v>436</v>
      </c>
      <c r="J70" s="21" t="s">
        <v>35</v>
      </c>
      <c r="K70" s="28" t="s">
        <v>43</v>
      </c>
      <c r="L70" s="15" t="s">
        <v>9</v>
      </c>
      <c r="M70" s="16" t="s">
        <v>3</v>
      </c>
      <c r="N70" s="21" t="s">
        <v>43</v>
      </c>
      <c r="O70" s="16" t="s">
        <v>2</v>
      </c>
    </row>
    <row r="71" ht="121.5" customHeight="1">
      <c r="A71" s="14" t="s">
        <v>437</v>
      </c>
      <c r="B71" s="15" t="s">
        <v>35</v>
      </c>
      <c r="C71" s="16" t="s">
        <v>387</v>
      </c>
      <c r="D71" s="17" t="s">
        <v>0</v>
      </c>
      <c r="E71" s="19" t="s">
        <v>438</v>
      </c>
      <c r="F71" s="21" t="s">
        <v>439</v>
      </c>
      <c r="G71" s="23" t="s">
        <v>440</v>
      </c>
      <c r="H71" s="24" t="s">
        <v>441</v>
      </c>
      <c r="I71" s="16" t="s">
        <v>442</v>
      </c>
      <c r="J71" s="21" t="s">
        <v>35</v>
      </c>
      <c r="K71" s="28" t="s">
        <v>43</v>
      </c>
      <c r="L71" s="15" t="s">
        <v>9</v>
      </c>
      <c r="M71" s="16" t="s">
        <v>3</v>
      </c>
      <c r="N71" s="21" t="s">
        <v>43</v>
      </c>
      <c r="O71" s="16" t="s">
        <v>2</v>
      </c>
    </row>
    <row r="72" ht="121.5" customHeight="1">
      <c r="A72" s="31" t="s">
        <v>443</v>
      </c>
      <c r="B72" s="15" t="s">
        <v>35</v>
      </c>
      <c r="C72" s="16" t="s">
        <v>387</v>
      </c>
      <c r="D72" s="17" t="s">
        <v>0</v>
      </c>
      <c r="E72" s="19" t="s">
        <v>444</v>
      </c>
      <c r="F72" s="21" t="s">
        <v>445</v>
      </c>
      <c r="G72" s="23" t="s">
        <v>446</v>
      </c>
      <c r="H72" s="24" t="s">
        <v>447</v>
      </c>
      <c r="I72" s="16" t="s">
        <v>448</v>
      </c>
      <c r="J72" s="21" t="s">
        <v>35</v>
      </c>
      <c r="K72" s="28" t="s">
        <v>43</v>
      </c>
      <c r="L72" s="15" t="s">
        <v>9</v>
      </c>
      <c r="M72" s="16" t="s">
        <v>3</v>
      </c>
      <c r="N72" s="21" t="s">
        <v>43</v>
      </c>
      <c r="O72" s="16" t="s">
        <v>2</v>
      </c>
    </row>
    <row r="73" ht="121.5" customHeight="1">
      <c r="A73" s="14" t="s">
        <v>449</v>
      </c>
      <c r="B73" s="15" t="s">
        <v>35</v>
      </c>
      <c r="C73" s="16" t="s">
        <v>450</v>
      </c>
      <c r="D73" s="17" t="s">
        <v>0</v>
      </c>
      <c r="E73" s="19" t="s">
        <v>38</v>
      </c>
      <c r="F73" s="21" t="s">
        <v>451</v>
      </c>
      <c r="G73" s="23" t="s">
        <v>452</v>
      </c>
      <c r="H73" s="24" t="s">
        <v>453</v>
      </c>
      <c r="I73" s="16" t="s">
        <v>42</v>
      </c>
      <c r="J73" s="21" t="s">
        <v>35</v>
      </c>
      <c r="K73" s="28" t="s">
        <v>43</v>
      </c>
      <c r="L73" s="15" t="s">
        <v>9</v>
      </c>
      <c r="M73" s="16" t="s">
        <v>3</v>
      </c>
      <c r="N73" s="21" t="s">
        <v>43</v>
      </c>
      <c r="O73" s="16" t="s">
        <v>2</v>
      </c>
    </row>
    <row r="74" ht="121.5" customHeight="1">
      <c r="A74" s="31" t="s">
        <v>454</v>
      </c>
      <c r="B74" s="15" t="s">
        <v>35</v>
      </c>
      <c r="C74" s="16" t="s">
        <v>450</v>
      </c>
      <c r="D74" s="17" t="s">
        <v>0</v>
      </c>
      <c r="E74" s="19" t="s">
        <v>45</v>
      </c>
      <c r="F74" s="21" t="s">
        <v>455</v>
      </c>
      <c r="G74" s="23" t="s">
        <v>452</v>
      </c>
      <c r="H74" s="24" t="s">
        <v>47</v>
      </c>
      <c r="I74" s="16" t="s">
        <v>48</v>
      </c>
      <c r="J74" s="21" t="s">
        <v>35</v>
      </c>
      <c r="K74" s="28" t="s">
        <v>43</v>
      </c>
      <c r="L74" s="15" t="s">
        <v>9</v>
      </c>
      <c r="M74" s="16" t="s">
        <v>3</v>
      </c>
      <c r="N74" s="21" t="s">
        <v>43</v>
      </c>
      <c r="O74" s="16" t="s">
        <v>2</v>
      </c>
    </row>
    <row r="75" ht="121.5" customHeight="1">
      <c r="A75" s="14" t="s">
        <v>456</v>
      </c>
      <c r="B75" s="15" t="s">
        <v>35</v>
      </c>
      <c r="C75" s="16" t="s">
        <v>450</v>
      </c>
      <c r="D75" s="17" t="s">
        <v>0</v>
      </c>
      <c r="E75" s="19" t="s">
        <v>457</v>
      </c>
      <c r="F75" s="21" t="s">
        <v>458</v>
      </c>
      <c r="G75" s="23" t="s">
        <v>53</v>
      </c>
      <c r="H75" s="24" t="s">
        <v>54</v>
      </c>
      <c r="I75" s="16" t="s">
        <v>55</v>
      </c>
      <c r="J75" s="21" t="s">
        <v>35</v>
      </c>
      <c r="K75" s="28" t="s">
        <v>43</v>
      </c>
      <c r="L75" s="15" t="s">
        <v>9</v>
      </c>
      <c r="M75" s="16" t="s">
        <v>3</v>
      </c>
      <c r="N75" s="21" t="s">
        <v>43</v>
      </c>
      <c r="O75" s="16" t="s">
        <v>2</v>
      </c>
    </row>
    <row r="76" ht="121.5" customHeight="1">
      <c r="A76" s="31" t="s">
        <v>459</v>
      </c>
      <c r="B76" s="15" t="s">
        <v>35</v>
      </c>
      <c r="C76" s="16" t="s">
        <v>450</v>
      </c>
      <c r="D76" s="17" t="s">
        <v>0</v>
      </c>
      <c r="E76" s="19" t="s">
        <v>57</v>
      </c>
      <c r="F76" s="21" t="s">
        <v>460</v>
      </c>
      <c r="G76" s="23" t="s">
        <v>53</v>
      </c>
      <c r="H76" s="24" t="s">
        <v>180</v>
      </c>
      <c r="I76" s="16" t="s">
        <v>461</v>
      </c>
      <c r="J76" s="21" t="s">
        <v>35</v>
      </c>
      <c r="K76" s="28" t="s">
        <v>43</v>
      </c>
      <c r="L76" s="15" t="s">
        <v>9</v>
      </c>
      <c r="M76" s="16" t="s">
        <v>3</v>
      </c>
      <c r="N76" s="21" t="s">
        <v>43</v>
      </c>
      <c r="O76" s="16" t="s">
        <v>2</v>
      </c>
    </row>
    <row r="77" ht="121.5" customHeight="1">
      <c r="A77" s="14" t="s">
        <v>462</v>
      </c>
      <c r="B77" s="15" t="s">
        <v>35</v>
      </c>
      <c r="C77" s="16" t="s">
        <v>450</v>
      </c>
      <c r="D77" s="17" t="s">
        <v>0</v>
      </c>
      <c r="E77" s="19" t="s">
        <v>463</v>
      </c>
      <c r="F77" s="21" t="s">
        <v>464</v>
      </c>
      <c r="G77" s="23" t="s">
        <v>465</v>
      </c>
      <c r="H77" s="24" t="s">
        <v>186</v>
      </c>
      <c r="I77" s="16" t="s">
        <v>466</v>
      </c>
      <c r="J77" s="21" t="s">
        <v>35</v>
      </c>
      <c r="K77" s="28" t="s">
        <v>43</v>
      </c>
      <c r="L77" s="15" t="s">
        <v>9</v>
      </c>
      <c r="M77" s="16" t="s">
        <v>3</v>
      </c>
      <c r="N77" s="21" t="s">
        <v>43</v>
      </c>
      <c r="O77" s="16" t="s">
        <v>2</v>
      </c>
    </row>
    <row r="78" ht="121.5" customHeight="1">
      <c r="A78" s="31" t="s">
        <v>467</v>
      </c>
      <c r="B78" s="15" t="s">
        <v>35</v>
      </c>
      <c r="C78" s="16" t="s">
        <v>450</v>
      </c>
      <c r="D78" s="17" t="s">
        <v>0</v>
      </c>
      <c r="E78" s="19" t="s">
        <v>468</v>
      </c>
      <c r="F78" s="21" t="s">
        <v>469</v>
      </c>
      <c r="G78" s="23" t="s">
        <v>470</v>
      </c>
      <c r="H78" s="24" t="s">
        <v>471</v>
      </c>
      <c r="I78" s="16" t="s">
        <v>472</v>
      </c>
      <c r="J78" s="21" t="s">
        <v>35</v>
      </c>
      <c r="K78" s="28" t="s">
        <v>43</v>
      </c>
      <c r="L78" s="15" t="s">
        <v>9</v>
      </c>
      <c r="M78" s="16" t="s">
        <v>3</v>
      </c>
      <c r="N78" s="21" t="s">
        <v>43</v>
      </c>
      <c r="O78" s="16" t="s">
        <v>2</v>
      </c>
    </row>
    <row r="79" ht="121.5" customHeight="1">
      <c r="A79" s="14" t="s">
        <v>473</v>
      </c>
      <c r="B79" s="15" t="s">
        <v>35</v>
      </c>
      <c r="C79" s="16" t="s">
        <v>450</v>
      </c>
      <c r="D79" s="17" t="s">
        <v>0</v>
      </c>
      <c r="E79" s="19" t="s">
        <v>475</v>
      </c>
      <c r="F79" s="21" t="s">
        <v>476</v>
      </c>
      <c r="G79" s="23" t="s">
        <v>477</v>
      </c>
      <c r="H79" s="24" t="s">
        <v>478</v>
      </c>
      <c r="I79" s="16" t="s">
        <v>479</v>
      </c>
      <c r="J79" s="21" t="s">
        <v>35</v>
      </c>
      <c r="K79" s="28" t="s">
        <v>43</v>
      </c>
      <c r="L79" s="15" t="s">
        <v>9</v>
      </c>
      <c r="M79" s="16" t="s">
        <v>3</v>
      </c>
      <c r="N79" s="21" t="s">
        <v>43</v>
      </c>
      <c r="O79" s="16" t="s">
        <v>2</v>
      </c>
    </row>
    <row r="80" ht="121.5" customHeight="1">
      <c r="A80" s="31" t="s">
        <v>480</v>
      </c>
      <c r="B80" s="15" t="s">
        <v>35</v>
      </c>
      <c r="C80" s="16" t="s">
        <v>482</v>
      </c>
      <c r="D80" s="17" t="s">
        <v>0</v>
      </c>
      <c r="E80" s="19" t="s">
        <v>483</v>
      </c>
      <c r="F80" s="21" t="s">
        <v>484</v>
      </c>
      <c r="G80" s="23" t="s">
        <v>485</v>
      </c>
      <c r="H80" s="24" t="s">
        <v>486</v>
      </c>
      <c r="I80" s="16" t="s">
        <v>487</v>
      </c>
      <c r="J80" s="21" t="s">
        <v>35</v>
      </c>
      <c r="K80" s="28" t="s">
        <v>43</v>
      </c>
      <c r="L80" s="15" t="s">
        <v>9</v>
      </c>
      <c r="M80" s="16" t="s">
        <v>3</v>
      </c>
      <c r="N80" s="21" t="s">
        <v>43</v>
      </c>
      <c r="O80" s="16" t="s">
        <v>2</v>
      </c>
    </row>
    <row r="81" ht="121.5" customHeight="1">
      <c r="A81" s="14" t="s">
        <v>488</v>
      </c>
      <c r="B81" s="15" t="s">
        <v>35</v>
      </c>
      <c r="C81" s="16" t="s">
        <v>482</v>
      </c>
      <c r="D81" s="17" t="s">
        <v>0</v>
      </c>
      <c r="E81" s="19" t="s">
        <v>489</v>
      </c>
      <c r="F81" s="21" t="s">
        <v>490</v>
      </c>
      <c r="G81" s="23" t="s">
        <v>491</v>
      </c>
      <c r="H81" s="24" t="s">
        <v>492</v>
      </c>
      <c r="I81" s="16" t="s">
        <v>493</v>
      </c>
      <c r="J81" s="21" t="s">
        <v>35</v>
      </c>
      <c r="K81" s="28" t="s">
        <v>43</v>
      </c>
      <c r="L81" s="15" t="s">
        <v>9</v>
      </c>
      <c r="M81" s="16" t="s">
        <v>3</v>
      </c>
      <c r="N81" s="21" t="s">
        <v>43</v>
      </c>
      <c r="O81" s="16" t="s">
        <v>2</v>
      </c>
    </row>
    <row r="82" ht="121.5" customHeight="1">
      <c r="A82" s="31" t="s">
        <v>494</v>
      </c>
      <c r="B82" s="15" t="s">
        <v>35</v>
      </c>
      <c r="C82" s="16" t="s">
        <v>482</v>
      </c>
      <c r="D82" s="17" t="s">
        <v>0</v>
      </c>
      <c r="E82" s="19" t="s">
        <v>495</v>
      </c>
      <c r="F82" s="21" t="s">
        <v>484</v>
      </c>
      <c r="G82" s="23" t="s">
        <v>496</v>
      </c>
      <c r="H82" s="24" t="s">
        <v>497</v>
      </c>
      <c r="I82" s="16" t="s">
        <v>498</v>
      </c>
      <c r="J82" s="21" t="s">
        <v>35</v>
      </c>
      <c r="K82" s="28" t="s">
        <v>43</v>
      </c>
      <c r="L82" s="15" t="s">
        <v>9</v>
      </c>
      <c r="M82" s="16" t="s">
        <v>3</v>
      </c>
      <c r="N82" s="21" t="s">
        <v>43</v>
      </c>
      <c r="O82" s="16" t="s">
        <v>2</v>
      </c>
    </row>
    <row r="83" ht="121.5" customHeight="1">
      <c r="A83" s="14" t="s">
        <v>499</v>
      </c>
      <c r="B83" s="15" t="s">
        <v>35</v>
      </c>
      <c r="C83" s="16" t="s">
        <v>482</v>
      </c>
      <c r="D83" s="17" t="s">
        <v>0</v>
      </c>
      <c r="E83" s="19" t="s">
        <v>500</v>
      </c>
      <c r="F83" s="21" t="s">
        <v>501</v>
      </c>
      <c r="G83" s="23" t="s">
        <v>502</v>
      </c>
      <c r="H83" s="24" t="s">
        <v>504</v>
      </c>
      <c r="I83" s="16" t="s">
        <v>505</v>
      </c>
      <c r="J83" s="21" t="s">
        <v>35</v>
      </c>
      <c r="K83" s="28" t="s">
        <v>43</v>
      </c>
      <c r="L83" s="15" t="s">
        <v>9</v>
      </c>
      <c r="M83" s="16" t="s">
        <v>3</v>
      </c>
      <c r="N83" s="21" t="s">
        <v>43</v>
      </c>
      <c r="O83" s="16" t="s">
        <v>2</v>
      </c>
    </row>
    <row r="84" ht="121.5" customHeight="1">
      <c r="A84" s="31" t="s">
        <v>506</v>
      </c>
      <c r="B84" s="15" t="s">
        <v>35</v>
      </c>
      <c r="C84" s="16" t="s">
        <v>482</v>
      </c>
      <c r="D84" s="17" t="s">
        <v>0</v>
      </c>
      <c r="E84" s="19" t="s">
        <v>507</v>
      </c>
      <c r="F84" s="21" t="s">
        <v>508</v>
      </c>
      <c r="G84" s="23" t="s">
        <v>509</v>
      </c>
      <c r="H84" s="24" t="s">
        <v>510</v>
      </c>
      <c r="I84" s="16" t="s">
        <v>511</v>
      </c>
      <c r="J84" s="21" t="s">
        <v>35</v>
      </c>
      <c r="K84" s="28" t="s">
        <v>43</v>
      </c>
      <c r="L84" s="15" t="s">
        <v>9</v>
      </c>
      <c r="M84" s="16" t="s">
        <v>3</v>
      </c>
      <c r="N84" s="21" t="s">
        <v>43</v>
      </c>
      <c r="O84" s="16" t="s">
        <v>2</v>
      </c>
    </row>
    <row r="85" ht="121.5" customHeight="1">
      <c r="A85" s="14" t="s">
        <v>512</v>
      </c>
      <c r="B85" s="15" t="s">
        <v>35</v>
      </c>
      <c r="C85" s="16" t="s">
        <v>482</v>
      </c>
      <c r="D85" s="17" t="s">
        <v>0</v>
      </c>
      <c r="E85" s="19" t="s">
        <v>513</v>
      </c>
      <c r="F85" s="21" t="s">
        <v>514</v>
      </c>
      <c r="G85" s="23" t="s">
        <v>515</v>
      </c>
      <c r="H85" s="24" t="s">
        <v>516</v>
      </c>
      <c r="I85" s="16" t="s">
        <v>517</v>
      </c>
      <c r="J85" s="21" t="s">
        <v>35</v>
      </c>
      <c r="K85" s="28" t="s">
        <v>43</v>
      </c>
      <c r="L85" s="15" t="s">
        <v>9</v>
      </c>
      <c r="M85" s="16" t="s">
        <v>3</v>
      </c>
      <c r="N85" s="21" t="s">
        <v>43</v>
      </c>
      <c r="O85" s="16" t="s">
        <v>2</v>
      </c>
    </row>
    <row r="86" ht="121.5" customHeight="1">
      <c r="A86" s="31" t="s">
        <v>518</v>
      </c>
      <c r="B86" s="15" t="s">
        <v>35</v>
      </c>
      <c r="C86" s="16" t="s">
        <v>482</v>
      </c>
      <c r="D86" s="17" t="s">
        <v>0</v>
      </c>
      <c r="E86" s="19" t="s">
        <v>520</v>
      </c>
      <c r="F86" s="21" t="s">
        <v>521</v>
      </c>
      <c r="G86" s="23" t="s">
        <v>522</v>
      </c>
      <c r="H86" s="24" t="s">
        <v>523</v>
      </c>
      <c r="I86" s="16" t="s">
        <v>524</v>
      </c>
      <c r="J86" s="21" t="s">
        <v>35</v>
      </c>
      <c r="K86" s="28" t="s">
        <v>43</v>
      </c>
      <c r="L86" s="15" t="s">
        <v>9</v>
      </c>
      <c r="M86" s="16" t="s">
        <v>3</v>
      </c>
      <c r="N86" s="21" t="s">
        <v>43</v>
      </c>
      <c r="O86" s="16" t="s">
        <v>2</v>
      </c>
    </row>
    <row r="87" ht="121.5" customHeight="1">
      <c r="A87" s="14" t="s">
        <v>525</v>
      </c>
      <c r="B87" s="15" t="s">
        <v>35</v>
      </c>
      <c r="C87" s="16" t="s">
        <v>482</v>
      </c>
      <c r="D87" s="17" t="s">
        <v>0</v>
      </c>
      <c r="E87" s="19" t="s">
        <v>526</v>
      </c>
      <c r="F87" s="21" t="s">
        <v>527</v>
      </c>
      <c r="G87" s="23" t="s">
        <v>528</v>
      </c>
      <c r="H87" s="24" t="s">
        <v>529</v>
      </c>
      <c r="I87" s="16" t="s">
        <v>530</v>
      </c>
      <c r="J87" s="21" t="s">
        <v>35</v>
      </c>
      <c r="K87" s="28" t="s">
        <v>43</v>
      </c>
      <c r="L87" s="15" t="s">
        <v>9</v>
      </c>
      <c r="M87" s="16" t="s">
        <v>3</v>
      </c>
      <c r="N87" s="21" t="s">
        <v>43</v>
      </c>
      <c r="O87" s="16" t="s">
        <v>2</v>
      </c>
    </row>
    <row r="88" ht="121.5" customHeight="1">
      <c r="A88" s="31" t="s">
        <v>531</v>
      </c>
      <c r="B88" s="15" t="s">
        <v>35</v>
      </c>
      <c r="C88" s="16" t="s">
        <v>533</v>
      </c>
      <c r="D88" s="17" t="s">
        <v>0</v>
      </c>
      <c r="E88" s="19" t="s">
        <v>534</v>
      </c>
      <c r="F88" s="21" t="s">
        <v>535</v>
      </c>
      <c r="G88" s="23" t="s">
        <v>536</v>
      </c>
      <c r="H88" s="24" t="s">
        <v>537</v>
      </c>
      <c r="I88" s="16" t="s">
        <v>538</v>
      </c>
      <c r="J88" s="21" t="s">
        <v>35</v>
      </c>
      <c r="K88" s="28" t="s">
        <v>43</v>
      </c>
      <c r="L88" s="15" t="s">
        <v>9</v>
      </c>
      <c r="M88" s="16" t="s">
        <v>3</v>
      </c>
      <c r="N88" s="21" t="s">
        <v>43</v>
      </c>
      <c r="O88" s="16" t="s">
        <v>2</v>
      </c>
    </row>
    <row r="89" ht="121.5" customHeight="1">
      <c r="A89" s="14" t="s">
        <v>539</v>
      </c>
      <c r="B89" s="15" t="s">
        <v>35</v>
      </c>
      <c r="C89" s="16" t="s">
        <v>533</v>
      </c>
      <c r="D89" s="17" t="s">
        <v>0</v>
      </c>
      <c r="E89" s="19" t="s">
        <v>540</v>
      </c>
      <c r="F89" s="21" t="s">
        <v>541</v>
      </c>
      <c r="G89" s="23" t="s">
        <v>542</v>
      </c>
      <c r="H89" s="24" t="s">
        <v>543</v>
      </c>
      <c r="I89" s="16" t="s">
        <v>544</v>
      </c>
      <c r="J89" s="21" t="s">
        <v>35</v>
      </c>
      <c r="K89" s="28" t="s">
        <v>43</v>
      </c>
      <c r="L89" s="15" t="s">
        <v>9</v>
      </c>
      <c r="M89" s="16" t="s">
        <v>3</v>
      </c>
      <c r="N89" s="21" t="s">
        <v>43</v>
      </c>
      <c r="O89" s="16" t="s">
        <v>2</v>
      </c>
    </row>
    <row r="90" ht="121.5" customHeight="1">
      <c r="A90" s="31" t="s">
        <v>545</v>
      </c>
      <c r="B90" s="15" t="s">
        <v>35</v>
      </c>
      <c r="C90" s="16" t="s">
        <v>533</v>
      </c>
      <c r="D90" s="17" t="s">
        <v>0</v>
      </c>
      <c r="E90" s="19" t="s">
        <v>546</v>
      </c>
      <c r="F90" s="21" t="s">
        <v>547</v>
      </c>
      <c r="G90" s="23" t="s">
        <v>548</v>
      </c>
      <c r="H90" s="24" t="s">
        <v>549</v>
      </c>
      <c r="I90" s="16" t="s">
        <v>550</v>
      </c>
      <c r="J90" s="21" t="s">
        <v>35</v>
      </c>
      <c r="K90" s="28" t="s">
        <v>43</v>
      </c>
      <c r="L90" s="15" t="s">
        <v>9</v>
      </c>
      <c r="M90" s="16" t="s">
        <v>3</v>
      </c>
      <c r="N90" s="21" t="s">
        <v>43</v>
      </c>
      <c r="O90" s="16" t="s">
        <v>2</v>
      </c>
    </row>
    <row r="91" ht="121.5" customHeight="1">
      <c r="A91" s="14" t="s">
        <v>551</v>
      </c>
      <c r="B91" s="15" t="s">
        <v>35</v>
      </c>
      <c r="C91" s="16" t="s">
        <v>533</v>
      </c>
      <c r="D91" s="17" t="s">
        <v>0</v>
      </c>
      <c r="E91" s="19" t="s">
        <v>552</v>
      </c>
      <c r="F91" s="21" t="s">
        <v>553</v>
      </c>
      <c r="G91" s="23" t="s">
        <v>554</v>
      </c>
      <c r="H91" s="24" t="s">
        <v>555</v>
      </c>
      <c r="I91" s="16" t="s">
        <v>556</v>
      </c>
      <c r="J91" s="21" t="s">
        <v>35</v>
      </c>
      <c r="K91" s="28" t="s">
        <v>43</v>
      </c>
      <c r="L91" s="15" t="s">
        <v>9</v>
      </c>
      <c r="M91" s="16" t="s">
        <v>3</v>
      </c>
      <c r="N91" s="21" t="s">
        <v>43</v>
      </c>
      <c r="O91" s="16" t="s">
        <v>2</v>
      </c>
    </row>
    <row r="92" ht="121.5" customHeight="1">
      <c r="A92" s="31" t="s">
        <v>557</v>
      </c>
      <c r="B92" s="15" t="s">
        <v>35</v>
      </c>
      <c r="C92" s="16" t="s">
        <v>533</v>
      </c>
      <c r="D92" s="17" t="s">
        <v>0</v>
      </c>
      <c r="E92" s="19" t="s">
        <v>558</v>
      </c>
      <c r="F92" s="21" t="s">
        <v>559</v>
      </c>
      <c r="G92" s="23" t="s">
        <v>560</v>
      </c>
      <c r="H92" s="24" t="s">
        <v>561</v>
      </c>
      <c r="I92" s="16" t="s">
        <v>562</v>
      </c>
      <c r="J92" s="21" t="s">
        <v>35</v>
      </c>
      <c r="K92" s="28" t="s">
        <v>43</v>
      </c>
      <c r="L92" s="15" t="s">
        <v>9</v>
      </c>
      <c r="M92" s="16" t="s">
        <v>3</v>
      </c>
      <c r="N92" s="21" t="s">
        <v>43</v>
      </c>
      <c r="O92" s="16" t="s">
        <v>2</v>
      </c>
    </row>
    <row r="93" ht="121.5" customHeight="1">
      <c r="A93" s="14" t="s">
        <v>563</v>
      </c>
      <c r="B93" s="15" t="s">
        <v>35</v>
      </c>
      <c r="C93" s="16" t="s">
        <v>533</v>
      </c>
      <c r="D93" s="17" t="s">
        <v>0</v>
      </c>
      <c r="E93" s="19" t="s">
        <v>564</v>
      </c>
      <c r="F93" s="21" t="s">
        <v>565</v>
      </c>
      <c r="G93" s="23" t="s">
        <v>566</v>
      </c>
      <c r="H93" s="24" t="s">
        <v>567</v>
      </c>
      <c r="I93" s="16" t="s">
        <v>568</v>
      </c>
      <c r="J93" s="21" t="s">
        <v>35</v>
      </c>
      <c r="K93" s="28" t="s">
        <v>43</v>
      </c>
      <c r="L93" s="15" t="s">
        <v>9</v>
      </c>
      <c r="M93" s="16" t="s">
        <v>3</v>
      </c>
      <c r="N93" s="21" t="s">
        <v>43</v>
      </c>
      <c r="O93" s="16" t="s">
        <v>2</v>
      </c>
    </row>
    <row r="94" ht="121.5" customHeight="1">
      <c r="A94" s="31" t="s">
        <v>569</v>
      </c>
      <c r="B94" s="15" t="s">
        <v>35</v>
      </c>
      <c r="C94" s="16" t="s">
        <v>533</v>
      </c>
      <c r="D94" s="17" t="s">
        <v>0</v>
      </c>
      <c r="E94" s="19" t="s">
        <v>570</v>
      </c>
      <c r="F94" s="21" t="s">
        <v>571</v>
      </c>
      <c r="G94" s="23" t="s">
        <v>572</v>
      </c>
      <c r="H94" s="24" t="s">
        <v>573</v>
      </c>
      <c r="I94" s="16" t="s">
        <v>574</v>
      </c>
      <c r="J94" s="21" t="s">
        <v>35</v>
      </c>
      <c r="K94" s="28" t="s">
        <v>43</v>
      </c>
      <c r="L94" s="15" t="s">
        <v>9</v>
      </c>
      <c r="M94" s="16" t="s">
        <v>3</v>
      </c>
      <c r="N94" s="21" t="s">
        <v>43</v>
      </c>
      <c r="O94" s="16" t="s">
        <v>2</v>
      </c>
    </row>
    <row r="95" ht="121.5" customHeight="1">
      <c r="A95" s="14" t="s">
        <v>575</v>
      </c>
      <c r="B95" s="15" t="s">
        <v>35</v>
      </c>
      <c r="C95" s="16" t="s">
        <v>576</v>
      </c>
      <c r="D95" s="17" t="s">
        <v>0</v>
      </c>
      <c r="E95" s="19" t="s">
        <v>577</v>
      </c>
      <c r="F95" s="21" t="s">
        <v>578</v>
      </c>
      <c r="G95" s="23" t="s">
        <v>579</v>
      </c>
      <c r="H95" s="24" t="s">
        <v>580</v>
      </c>
      <c r="I95" s="16" t="s">
        <v>581</v>
      </c>
      <c r="J95" s="21" t="s">
        <v>35</v>
      </c>
      <c r="K95" s="28" t="s">
        <v>43</v>
      </c>
      <c r="L95" s="15" t="s">
        <v>9</v>
      </c>
      <c r="M95" s="16" t="s">
        <v>3</v>
      </c>
      <c r="N95" s="21" t="s">
        <v>43</v>
      </c>
      <c r="O95" s="16" t="s">
        <v>2</v>
      </c>
    </row>
    <row r="96" ht="121.5" customHeight="1">
      <c r="A96" s="31" t="s">
        <v>582</v>
      </c>
      <c r="B96" s="15" t="s">
        <v>35</v>
      </c>
      <c r="C96" s="16" t="s">
        <v>576</v>
      </c>
      <c r="D96" s="17" t="s">
        <v>0</v>
      </c>
      <c r="E96" s="19" t="s">
        <v>583</v>
      </c>
      <c r="F96" s="21" t="s">
        <v>584</v>
      </c>
      <c r="G96" s="23" t="s">
        <v>585</v>
      </c>
      <c r="H96" s="24" t="s">
        <v>586</v>
      </c>
      <c r="I96" s="16" t="s">
        <v>587</v>
      </c>
      <c r="J96" s="21" t="s">
        <v>35</v>
      </c>
      <c r="K96" s="28" t="s">
        <v>43</v>
      </c>
      <c r="L96" s="15" t="s">
        <v>9</v>
      </c>
      <c r="M96" s="16" t="s">
        <v>3</v>
      </c>
      <c r="N96" s="21" t="s">
        <v>43</v>
      </c>
      <c r="O96" s="16" t="s">
        <v>2</v>
      </c>
    </row>
    <row r="97" ht="121.5" customHeight="1">
      <c r="A97" s="14" t="s">
        <v>588</v>
      </c>
      <c r="B97" s="15" t="s">
        <v>35</v>
      </c>
      <c r="C97" s="16" t="s">
        <v>576</v>
      </c>
      <c r="D97" s="17" t="s">
        <v>0</v>
      </c>
      <c r="E97" s="19" t="s">
        <v>589</v>
      </c>
      <c r="F97" s="21" t="s">
        <v>590</v>
      </c>
      <c r="G97" s="23" t="s">
        <v>585</v>
      </c>
      <c r="H97" s="24" t="s">
        <v>591</v>
      </c>
      <c r="I97" s="16" t="s">
        <v>592</v>
      </c>
      <c r="J97" s="21" t="s">
        <v>35</v>
      </c>
      <c r="K97" s="28" t="s">
        <v>43</v>
      </c>
      <c r="L97" s="15" t="s">
        <v>9</v>
      </c>
      <c r="M97" s="16" t="s">
        <v>3</v>
      </c>
      <c r="N97" s="21" t="s">
        <v>43</v>
      </c>
      <c r="O97" s="16" t="s">
        <v>2</v>
      </c>
    </row>
    <row r="98" ht="121.5" customHeight="1">
      <c r="A98" s="31" t="s">
        <v>593</v>
      </c>
      <c r="B98" s="15" t="s">
        <v>35</v>
      </c>
      <c r="C98" s="16" t="s">
        <v>576</v>
      </c>
      <c r="D98" s="17" t="s">
        <v>0</v>
      </c>
      <c r="E98" s="19" t="s">
        <v>594</v>
      </c>
      <c r="F98" s="21" t="s">
        <v>595</v>
      </c>
      <c r="G98" s="23" t="s">
        <v>596</v>
      </c>
      <c r="H98" s="24" t="s">
        <v>597</v>
      </c>
      <c r="I98" s="16" t="s">
        <v>598</v>
      </c>
      <c r="J98" s="21" t="s">
        <v>35</v>
      </c>
      <c r="K98" s="28" t="s">
        <v>43</v>
      </c>
      <c r="L98" s="15" t="s">
        <v>9</v>
      </c>
      <c r="M98" s="16" t="s">
        <v>3</v>
      </c>
      <c r="N98" s="21" t="s">
        <v>43</v>
      </c>
      <c r="O98" s="16" t="s">
        <v>2</v>
      </c>
    </row>
    <row r="99" ht="121.5" customHeight="1">
      <c r="A99" s="14" t="s">
        <v>599</v>
      </c>
      <c r="B99" s="15" t="s">
        <v>35</v>
      </c>
      <c r="C99" s="16" t="s">
        <v>576</v>
      </c>
      <c r="D99" s="17" t="s">
        <v>0</v>
      </c>
      <c r="E99" s="19" t="s">
        <v>600</v>
      </c>
      <c r="F99" s="21" t="s">
        <v>601</v>
      </c>
      <c r="G99" s="23" t="s">
        <v>602</v>
      </c>
      <c r="H99" s="24" t="s">
        <v>603</v>
      </c>
      <c r="I99" s="16" t="s">
        <v>604</v>
      </c>
      <c r="J99" s="21" t="s">
        <v>35</v>
      </c>
      <c r="K99" s="28" t="s">
        <v>43</v>
      </c>
      <c r="L99" s="15" t="s">
        <v>9</v>
      </c>
      <c r="M99" s="16" t="s">
        <v>3</v>
      </c>
      <c r="N99" s="21" t="s">
        <v>43</v>
      </c>
      <c r="O99" s="16" t="s">
        <v>2</v>
      </c>
    </row>
    <row r="100" ht="121.5" customHeight="1">
      <c r="A100" s="31" t="s">
        <v>605</v>
      </c>
      <c r="B100" s="15" t="s">
        <v>35</v>
      </c>
      <c r="C100" s="16" t="s">
        <v>576</v>
      </c>
      <c r="D100" s="17" t="s">
        <v>0</v>
      </c>
      <c r="E100" s="19" t="s">
        <v>606</v>
      </c>
      <c r="F100" s="21" t="s">
        <v>607</v>
      </c>
      <c r="G100" s="23" t="s">
        <v>608</v>
      </c>
      <c r="H100" s="24" t="s">
        <v>609</v>
      </c>
      <c r="I100" s="16" t="s">
        <v>610</v>
      </c>
      <c r="J100" s="21" t="s">
        <v>35</v>
      </c>
      <c r="K100" s="28" t="s">
        <v>43</v>
      </c>
      <c r="L100" s="15" t="s">
        <v>9</v>
      </c>
      <c r="M100" s="16" t="s">
        <v>3</v>
      </c>
      <c r="N100" s="21" t="s">
        <v>43</v>
      </c>
      <c r="O100" s="16" t="s">
        <v>2</v>
      </c>
    </row>
    <row r="101" ht="121.5" customHeight="1">
      <c r="A101" s="14" t="s">
        <v>611</v>
      </c>
      <c r="B101" s="15" t="s">
        <v>35</v>
      </c>
      <c r="C101" s="16" t="s">
        <v>576</v>
      </c>
      <c r="D101" s="17" t="s">
        <v>0</v>
      </c>
      <c r="E101" s="19" t="s">
        <v>612</v>
      </c>
      <c r="F101" s="21" t="s">
        <v>613</v>
      </c>
      <c r="G101" s="23" t="s">
        <v>614</v>
      </c>
      <c r="H101" s="24" t="s">
        <v>615</v>
      </c>
      <c r="I101" s="16" t="s">
        <v>616</v>
      </c>
      <c r="J101" s="21" t="s">
        <v>35</v>
      </c>
      <c r="K101" s="28" t="s">
        <v>43</v>
      </c>
      <c r="L101" s="15" t="s">
        <v>9</v>
      </c>
      <c r="M101" s="16" t="s">
        <v>3</v>
      </c>
      <c r="N101" s="21" t="s">
        <v>43</v>
      </c>
      <c r="O101" s="16" t="s">
        <v>2</v>
      </c>
    </row>
    <row r="102" ht="121.5" customHeight="1">
      <c r="A102" s="31" t="s">
        <v>617</v>
      </c>
      <c r="B102" s="15" t="s">
        <v>35</v>
      </c>
      <c r="C102" s="16" t="s">
        <v>618</v>
      </c>
      <c r="D102" s="17" t="s">
        <v>0</v>
      </c>
      <c r="E102" s="19" t="s">
        <v>619</v>
      </c>
      <c r="F102" s="21" t="s">
        <v>620</v>
      </c>
      <c r="G102" s="23" t="s">
        <v>621</v>
      </c>
      <c r="H102" s="24" t="s">
        <v>622</v>
      </c>
      <c r="I102" s="16" t="s">
        <v>623</v>
      </c>
      <c r="J102" s="21" t="s">
        <v>35</v>
      </c>
      <c r="K102" s="28" t="s">
        <v>43</v>
      </c>
      <c r="L102" s="15" t="s">
        <v>9</v>
      </c>
      <c r="M102" s="16" t="s">
        <v>3</v>
      </c>
      <c r="N102" s="21" t="s">
        <v>43</v>
      </c>
      <c r="O102" s="16" t="s">
        <v>2</v>
      </c>
    </row>
    <row r="103" ht="121.5" customHeight="1">
      <c r="A103" s="14" t="s">
        <v>625</v>
      </c>
      <c r="B103" s="15" t="s">
        <v>35</v>
      </c>
      <c r="C103" s="16" t="s">
        <v>618</v>
      </c>
      <c r="D103" s="17" t="s">
        <v>0</v>
      </c>
      <c r="E103" s="19" t="s">
        <v>626</v>
      </c>
      <c r="F103" s="21" t="s">
        <v>627</v>
      </c>
      <c r="G103" s="23" t="s">
        <v>628</v>
      </c>
      <c r="H103" s="24" t="s">
        <v>629</v>
      </c>
      <c r="I103" s="16" t="s">
        <v>630</v>
      </c>
      <c r="J103" s="21" t="s">
        <v>35</v>
      </c>
      <c r="K103" s="28" t="s">
        <v>43</v>
      </c>
      <c r="L103" s="15" t="s">
        <v>9</v>
      </c>
      <c r="M103" s="16" t="s">
        <v>3</v>
      </c>
      <c r="N103" s="21" t="s">
        <v>43</v>
      </c>
      <c r="O103" s="16" t="s">
        <v>2</v>
      </c>
    </row>
    <row r="104" ht="121.5" customHeight="1">
      <c r="A104" s="31" t="s">
        <v>632</v>
      </c>
      <c r="B104" s="15" t="s">
        <v>35</v>
      </c>
      <c r="C104" s="16" t="s">
        <v>618</v>
      </c>
      <c r="D104" s="17" t="s">
        <v>0</v>
      </c>
      <c r="E104" s="19" t="s">
        <v>633</v>
      </c>
      <c r="F104" s="21" t="s">
        <v>634</v>
      </c>
      <c r="G104" s="23" t="s">
        <v>635</v>
      </c>
      <c r="H104" s="24" t="s">
        <v>636</v>
      </c>
      <c r="I104" s="16" t="s">
        <v>637</v>
      </c>
      <c r="J104" s="21" t="s">
        <v>35</v>
      </c>
      <c r="K104" s="28" t="s">
        <v>43</v>
      </c>
      <c r="L104" s="15" t="s">
        <v>9</v>
      </c>
      <c r="M104" s="16" t="s">
        <v>3</v>
      </c>
      <c r="N104" s="21" t="s">
        <v>43</v>
      </c>
      <c r="O104" s="16" t="s">
        <v>2</v>
      </c>
    </row>
    <row r="105" ht="121.5" customHeight="1">
      <c r="A105" s="14" t="s">
        <v>638</v>
      </c>
      <c r="B105" s="15" t="s">
        <v>35</v>
      </c>
      <c r="C105" s="16" t="s">
        <v>618</v>
      </c>
      <c r="D105" s="17" t="s">
        <v>0</v>
      </c>
      <c r="E105" s="19" t="s">
        <v>639</v>
      </c>
      <c r="F105" s="21" t="s">
        <v>640</v>
      </c>
      <c r="G105" s="23" t="s">
        <v>641</v>
      </c>
      <c r="H105" s="24" t="s">
        <v>642</v>
      </c>
      <c r="I105" s="16" t="s">
        <v>643</v>
      </c>
      <c r="J105" s="21" t="s">
        <v>35</v>
      </c>
      <c r="K105" s="28" t="s">
        <v>43</v>
      </c>
      <c r="L105" s="15" t="s">
        <v>9</v>
      </c>
      <c r="M105" s="16" t="s">
        <v>3</v>
      </c>
      <c r="N105" s="21" t="s">
        <v>43</v>
      </c>
      <c r="O105" s="16" t="s">
        <v>2</v>
      </c>
    </row>
    <row r="106" ht="121.5" customHeight="1">
      <c r="A106" s="31" t="s">
        <v>644</v>
      </c>
      <c r="B106" s="15" t="s">
        <v>35</v>
      </c>
      <c r="C106" s="16" t="s">
        <v>618</v>
      </c>
      <c r="D106" s="17" t="s">
        <v>0</v>
      </c>
      <c r="E106" s="19" t="s">
        <v>645</v>
      </c>
      <c r="F106" s="21" t="s">
        <v>646</v>
      </c>
      <c r="G106" s="23" t="s">
        <v>647</v>
      </c>
      <c r="H106" s="24" t="s">
        <v>648</v>
      </c>
      <c r="I106" s="16" t="s">
        <v>649</v>
      </c>
      <c r="J106" s="21" t="s">
        <v>35</v>
      </c>
      <c r="K106" s="28" t="s">
        <v>43</v>
      </c>
      <c r="L106" s="15" t="s">
        <v>9</v>
      </c>
      <c r="M106" s="16" t="s">
        <v>3</v>
      </c>
      <c r="N106" s="21" t="s">
        <v>43</v>
      </c>
      <c r="O106" s="16" t="s">
        <v>2</v>
      </c>
    </row>
    <row r="107" ht="121.5" customHeight="1">
      <c r="A107" s="14" t="s">
        <v>650</v>
      </c>
      <c r="B107" s="15" t="s">
        <v>35</v>
      </c>
      <c r="C107" s="16" t="s">
        <v>618</v>
      </c>
      <c r="D107" s="17" t="s">
        <v>0</v>
      </c>
      <c r="E107" s="19" t="s">
        <v>652</v>
      </c>
      <c r="F107" s="21" t="s">
        <v>653</v>
      </c>
      <c r="G107" s="23" t="s">
        <v>654</v>
      </c>
      <c r="H107" s="24" t="s">
        <v>655</v>
      </c>
      <c r="I107" s="16" t="s">
        <v>656</v>
      </c>
      <c r="J107" s="21" t="s">
        <v>35</v>
      </c>
      <c r="K107" s="28" t="s">
        <v>43</v>
      </c>
      <c r="L107" s="15" t="s">
        <v>9</v>
      </c>
      <c r="M107" s="16" t="s">
        <v>3</v>
      </c>
      <c r="N107" s="21" t="s">
        <v>43</v>
      </c>
      <c r="O107" s="16" t="s">
        <v>2</v>
      </c>
    </row>
    <row r="108" ht="121.5" customHeight="1">
      <c r="A108" s="31" t="s">
        <v>657</v>
      </c>
      <c r="B108" s="15" t="s">
        <v>35</v>
      </c>
      <c r="C108" s="16" t="s">
        <v>618</v>
      </c>
      <c r="D108" s="17" t="s">
        <v>0</v>
      </c>
      <c r="E108" s="19" t="s">
        <v>658</v>
      </c>
      <c r="F108" s="21" t="s">
        <v>659</v>
      </c>
      <c r="G108" s="23" t="s">
        <v>628</v>
      </c>
      <c r="H108" s="24" t="s">
        <v>660</v>
      </c>
      <c r="I108" s="16" t="s">
        <v>661</v>
      </c>
      <c r="J108" s="21" t="s">
        <v>35</v>
      </c>
      <c r="K108" s="28" t="s">
        <v>43</v>
      </c>
      <c r="L108" s="15" t="s">
        <v>9</v>
      </c>
      <c r="M108" s="16" t="s">
        <v>3</v>
      </c>
      <c r="N108" s="21" t="s">
        <v>43</v>
      </c>
      <c r="O108" s="16" t="s">
        <v>2</v>
      </c>
    </row>
    <row r="109" ht="121.5" customHeight="1">
      <c r="A109" s="74"/>
      <c r="B109" s="75"/>
      <c r="C109" s="76"/>
      <c r="D109" s="77"/>
      <c r="E109" s="78"/>
      <c r="F109" s="79"/>
      <c r="G109" s="80"/>
      <c r="H109" s="81"/>
      <c r="I109" s="76"/>
      <c r="J109" s="79"/>
      <c r="K109" s="82"/>
      <c r="L109" s="75"/>
      <c r="M109" s="76"/>
      <c r="N109" s="79"/>
      <c r="O109" s="76"/>
    </row>
  </sheetData>
  <autoFilter ref="$A$1:$O$3"/>
  <conditionalFormatting sqref="A1:O109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B2:B109 J2:J109">
      <formula1>"Jose Espinoza,Sebastian Valdes,Jose Herrera,N/A"</formula1>
    </dataValidation>
    <dataValidation type="list" allowBlank="1" showErrorMessage="1" sqref="M2:M109">
      <formula1>'Datos del plan'!$D$1:$D$2</formula1>
    </dataValidation>
    <dataValidation type="list" allowBlank="1" showErrorMessage="1" sqref="O2:O109">
      <formula1>'Datos del plan'!$C$1:$C$3</formula1>
    </dataValidation>
    <dataValidation type="list" allowBlank="1" showErrorMessage="1" sqref="D2:D109">
      <formula1>'Datos del plan'!$A$1:$A$8</formula1>
    </dataValidation>
    <dataValidation type="list" allowBlank="1" showErrorMessage="1" sqref="L2:L109">
      <formula1>'Datos del plan'!$B$1:$B$5</formula1>
    </dataValidation>
    <dataValidation type="list" allowBlank="1" showErrorMessage="1" sqref="C2:C109">
      <formula1>"Web Cliente - Login,Web Cliente - Cuenta,Web Cliente - Solicitudes,Web Cliente - Mis solicitudes,Web Gestor - Login,Web Gestor - Solicitudes,Web Gestor - Técnicos,Web Gestor - Calendario,Web Administrador - Usuarios,Web Administrador - Dashboard y reporte"&amp;"s,App Técnico - Login,App Técnico - Servicios,App Técnico - Ubicación,App Técnico - Evidencias,App Técnico - Notificaciones,N/A"</formula1>
    </dataValidation>
  </dataValidations>
  <printOptions/>
  <pageMargins bottom="0.75" footer="0.0" header="0.0" left="0.25" right="0.25" top="0.75"/>
  <pageSetup fitToHeight="0"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57"/>
    <col customWidth="1" min="3" max="3" width="16.14"/>
    <col customWidth="1" min="4" max="4" width="14.29"/>
    <col customWidth="1" min="5" max="5" width="3.0"/>
    <col customWidth="1" min="6" max="6" width="20.57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5"/>
      <c r="C2" s="45"/>
      <c r="D2" s="4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45"/>
      <c r="C3" s="45"/>
      <c r="D3" s="4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46"/>
      <c r="B4" s="47"/>
      <c r="C4" s="47"/>
      <c r="D4" s="47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1"/>
      <c r="T4" s="1"/>
      <c r="U4" s="1"/>
      <c r="V4" s="1"/>
      <c r="W4" s="1"/>
      <c r="X4" s="1"/>
      <c r="Y4" s="1"/>
      <c r="Z4" s="1"/>
    </row>
    <row r="5" ht="14.2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/>
      <c r="Q5" s="46"/>
      <c r="R5" s="46"/>
      <c r="S5" s="1"/>
      <c r="T5" s="1"/>
      <c r="U5" s="1"/>
      <c r="V5" s="1"/>
      <c r="W5" s="1"/>
      <c r="X5" s="1"/>
      <c r="Y5" s="1"/>
      <c r="Z5" s="1"/>
    </row>
    <row r="6" ht="14.25" customHeight="1">
      <c r="A6" s="46"/>
      <c r="B6" s="49" t="s">
        <v>267</v>
      </c>
      <c r="C6" s="50" t="s">
        <v>1</v>
      </c>
      <c r="D6" s="51">
        <f>COUNTIF('Identificación Casos'!L:L,"OK")</f>
        <v>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8"/>
      <c r="Q6" s="46"/>
      <c r="R6" s="46"/>
      <c r="S6" s="1"/>
      <c r="T6" s="1"/>
      <c r="U6" s="1"/>
      <c r="V6" s="1"/>
      <c r="W6" s="1"/>
      <c r="X6" s="1"/>
      <c r="Y6" s="1"/>
      <c r="Z6" s="1"/>
    </row>
    <row r="7" ht="14.25" customHeight="1">
      <c r="A7" s="46"/>
      <c r="B7" s="52"/>
      <c r="C7" s="50" t="s">
        <v>5</v>
      </c>
      <c r="D7" s="51">
        <f>COUNTIF('Identificación Casos'!L:L,"NOK")</f>
        <v>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1"/>
      <c r="T7" s="1"/>
      <c r="U7" s="1"/>
      <c r="V7" s="1"/>
      <c r="W7" s="1"/>
      <c r="X7" s="1"/>
      <c r="Y7" s="1"/>
      <c r="Z7" s="1"/>
    </row>
    <row r="8" ht="14.25" customHeight="1">
      <c r="A8" s="46"/>
      <c r="B8" s="52"/>
      <c r="C8" s="50" t="s">
        <v>9</v>
      </c>
      <c r="D8" s="51">
        <f>COUNTIF('Identificación Casos'!L:L,"*No ejecutado*")</f>
        <v>107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"/>
      <c r="T8" s="1"/>
      <c r="U8" s="1"/>
      <c r="V8" s="1"/>
      <c r="W8" s="1"/>
      <c r="X8" s="1"/>
      <c r="Y8" s="1"/>
      <c r="Z8" s="1"/>
    </row>
    <row r="9" ht="14.25" customHeight="1">
      <c r="A9" s="46"/>
      <c r="B9" s="52"/>
      <c r="C9" s="50" t="s">
        <v>14</v>
      </c>
      <c r="D9" s="51">
        <f>COUNTIF('Identificación Casos'!L:L,"*Bloqueado*")</f>
        <v>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8"/>
      <c r="P9" s="46"/>
      <c r="Q9" s="46"/>
      <c r="R9" s="46"/>
      <c r="S9" s="1"/>
      <c r="T9" s="1"/>
      <c r="U9" s="1"/>
      <c r="V9" s="1"/>
      <c r="W9" s="1"/>
      <c r="X9" s="1"/>
      <c r="Y9" s="1"/>
      <c r="Z9" s="1"/>
    </row>
    <row r="10" ht="14.25" customHeight="1">
      <c r="A10" s="46"/>
      <c r="B10" s="53"/>
      <c r="C10" s="50" t="s">
        <v>16</v>
      </c>
      <c r="D10" s="51">
        <f>COUNTIF('Identificación Casos'!L:L,"*Obsoleto*")</f>
        <v>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46"/>
      <c r="B11" s="54"/>
      <c r="C11" s="54"/>
      <c r="D11" s="5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46"/>
      <c r="B12" s="54"/>
      <c r="C12" s="54"/>
      <c r="D12" s="55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46"/>
      <c r="B13" s="56" t="s">
        <v>406</v>
      </c>
      <c r="C13" s="57"/>
      <c r="D13" s="58">
        <f>SUM(G23:G25)</f>
        <v>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46"/>
      <c r="B14" s="54"/>
      <c r="C14" s="54"/>
      <c r="D14" s="54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46"/>
      <c r="B15" s="54"/>
      <c r="C15" s="54"/>
      <c r="D15" s="54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46"/>
      <c r="B16" s="59" t="s">
        <v>430</v>
      </c>
      <c r="C16" s="34"/>
      <c r="D16" s="60" t="str">
        <f>SUM(D6+D7+D9+D10)/D13</f>
        <v>#DIV/0!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46"/>
      <c r="B17" s="38"/>
      <c r="C17" s="40"/>
      <c r="D17" s="5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61"/>
      <c r="N20" s="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2"/>
      <c r="C21" s="1"/>
      <c r="D21" s="1"/>
      <c r="E21" s="1"/>
      <c r="F21" s="1"/>
      <c r="G21" s="1"/>
      <c r="H21" s="1"/>
      <c r="I21" s="1"/>
      <c r="J21" s="1"/>
      <c r="K21" s="1"/>
      <c r="L21" s="1"/>
      <c r="M21" s="1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1"/>
      <c r="V22" s="1"/>
      <c r="W22" s="1"/>
      <c r="X22" s="1"/>
      <c r="Y22" s="1"/>
      <c r="Z22" s="1"/>
    </row>
    <row r="23" ht="14.25" customHeight="1">
      <c r="A23" s="46"/>
      <c r="B23" s="63" t="s">
        <v>474</v>
      </c>
      <c r="C23" s="33"/>
      <c r="D23" s="34"/>
      <c r="E23" s="64" t="s">
        <v>481</v>
      </c>
      <c r="F23" s="57"/>
      <c r="G23" s="65">
        <f>COUNTIF('Identificación Casos'!B:B,"*Jose Espinoza*")
</f>
        <v>0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1"/>
      <c r="V23" s="1"/>
      <c r="W23" s="1"/>
      <c r="X23" s="1"/>
      <c r="Y23" s="1"/>
      <c r="Z23" s="1"/>
    </row>
    <row r="24" ht="14.25" customHeight="1">
      <c r="A24" s="46"/>
      <c r="B24" s="36"/>
      <c r="D24" s="37"/>
      <c r="E24" s="66" t="s">
        <v>503</v>
      </c>
      <c r="F24" s="57"/>
      <c r="G24" s="65">
        <f>COUNTIF('Identificación Casos'!B:B,"*Jose Herrera*")
</f>
        <v>0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1"/>
      <c r="V24" s="1"/>
      <c r="W24" s="1"/>
      <c r="X24" s="1"/>
      <c r="Y24" s="1"/>
      <c r="Z24" s="1"/>
    </row>
    <row r="25" ht="14.25" customHeight="1">
      <c r="A25" s="46"/>
      <c r="B25" s="38"/>
      <c r="C25" s="39"/>
      <c r="D25" s="40"/>
      <c r="E25" s="64" t="s">
        <v>519</v>
      </c>
      <c r="F25" s="57"/>
      <c r="G25" s="65">
        <f>COUNTIF('Identificación Casos'!B:B,"*Sebastian Valdes*")
</f>
        <v>0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1"/>
      <c r="V25" s="1"/>
      <c r="W25" s="1"/>
      <c r="X25" s="1"/>
      <c r="Y25" s="1"/>
      <c r="Z25" s="1"/>
    </row>
    <row r="26" ht="14.25" customHeight="1">
      <c r="A26" s="46"/>
      <c r="B26" s="46"/>
      <c r="C26" s="46"/>
      <c r="D26" s="46"/>
      <c r="E26" s="46"/>
      <c r="F26" s="67" t="s">
        <v>532</v>
      </c>
      <c r="G26" s="67">
        <f>SUM(G23:G25)</f>
        <v>0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1"/>
      <c r="V26" s="1"/>
      <c r="W26" s="1"/>
      <c r="X26" s="1"/>
      <c r="Y26" s="1"/>
      <c r="Z26" s="1"/>
    </row>
    <row r="27" ht="14.2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1"/>
      <c r="V27" s="1"/>
      <c r="W27" s="1"/>
      <c r="X27" s="1"/>
      <c r="Y27" s="1"/>
      <c r="Z27" s="1"/>
    </row>
    <row r="28" ht="14.25" customHeight="1">
      <c r="A28" s="46"/>
      <c r="B28" s="46"/>
      <c r="C28" s="46"/>
      <c r="D28" s="46"/>
      <c r="E28" s="46"/>
      <c r="F28" s="46"/>
      <c r="G28" s="46"/>
      <c r="H28" s="46">
        <v>4.0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1"/>
      <c r="V28" s="1"/>
      <c r="W28" s="1"/>
      <c r="X28" s="1"/>
      <c r="Y28" s="1"/>
      <c r="Z28" s="1"/>
    </row>
    <row r="29" ht="14.2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1"/>
      <c r="V29" s="1"/>
      <c r="W29" s="1"/>
      <c r="X29" s="1"/>
      <c r="Y29" s="1"/>
      <c r="Z29" s="1"/>
    </row>
    <row r="30" ht="14.2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1"/>
      <c r="V30" s="1"/>
      <c r="W30" s="1"/>
      <c r="X30" s="1"/>
      <c r="Y30" s="1"/>
      <c r="Z30" s="1"/>
    </row>
    <row r="31" ht="14.2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1"/>
      <c r="V31" s="1"/>
      <c r="W31" s="1"/>
      <c r="X31" s="1"/>
      <c r="Y31" s="1"/>
      <c r="Z31" s="1"/>
    </row>
    <row r="32" ht="14.25" customHeight="1">
      <c r="A32" s="46"/>
      <c r="B32" s="68"/>
      <c r="C32" s="68"/>
      <c r="D32" s="6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1"/>
      <c r="V32" s="1"/>
      <c r="W32" s="1"/>
      <c r="X32" s="1"/>
      <c r="Y32" s="1"/>
      <c r="Z32" s="1"/>
    </row>
    <row r="33" ht="14.25" customHeight="1">
      <c r="A33" s="69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1"/>
      <c r="V33" s="1"/>
      <c r="W33" s="1"/>
      <c r="X33" s="1"/>
      <c r="Y33" s="1"/>
      <c r="Z33" s="1"/>
    </row>
    <row r="34" ht="14.25" customHeight="1">
      <c r="A34" s="69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1"/>
      <c r="V34" s="1"/>
      <c r="W34" s="1"/>
      <c r="X34" s="1"/>
      <c r="Y34" s="1"/>
      <c r="Z34" s="1"/>
    </row>
    <row r="35" ht="14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1"/>
      <c r="V35" s="1"/>
      <c r="W35" s="1"/>
      <c r="X35" s="1"/>
      <c r="Y35" s="1"/>
      <c r="Z35" s="1"/>
    </row>
    <row r="36" ht="14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1"/>
      <c r="V36" s="1"/>
      <c r="W36" s="1"/>
      <c r="X36" s="1"/>
      <c r="Y36" s="1"/>
      <c r="Z36" s="1"/>
    </row>
    <row r="37" ht="14.25" customHeight="1">
      <c r="A37" s="70"/>
      <c r="B37" s="71"/>
      <c r="C37" s="71"/>
      <c r="D37" s="71"/>
      <c r="E37" s="71"/>
      <c r="F37" s="71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1"/>
      <c r="V37" s="1"/>
      <c r="W37" s="1"/>
      <c r="X37" s="1"/>
      <c r="Y37" s="1"/>
      <c r="Z37" s="1"/>
    </row>
    <row r="38" ht="14.25" customHeight="1">
      <c r="A38" s="70"/>
      <c r="B38" s="70"/>
      <c r="C38" s="70"/>
      <c r="D38" s="70"/>
      <c r="E38" s="70"/>
      <c r="F38" s="70"/>
      <c r="G38" s="70"/>
      <c r="H38" s="73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1"/>
      <c r="V38" s="1"/>
      <c r="W38" s="1"/>
      <c r="X38" s="1"/>
      <c r="Y38" s="1"/>
      <c r="Z38" s="1"/>
    </row>
    <row r="39" ht="14.25" customHeight="1">
      <c r="A39" s="69"/>
      <c r="B39" s="69"/>
      <c r="C39" s="69"/>
      <c r="D39" s="69"/>
      <c r="E39" s="69"/>
      <c r="F39" s="69"/>
      <c r="G39" s="69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1"/>
      <c r="V39" s="1"/>
      <c r="W39" s="1"/>
      <c r="X39" s="1"/>
      <c r="Y39" s="1"/>
      <c r="Z39" s="1"/>
    </row>
    <row r="40" ht="14.25" customHeight="1">
      <c r="A40" s="69"/>
      <c r="B40" s="69"/>
      <c r="C40" s="69"/>
      <c r="D40" s="69"/>
      <c r="E40" s="69"/>
      <c r="F40" s="69"/>
      <c r="G40" s="69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1"/>
      <c r="V40" s="1"/>
      <c r="W40" s="1"/>
      <c r="X40" s="1"/>
      <c r="Y40" s="1"/>
      <c r="Z40" s="1"/>
    </row>
    <row r="41" ht="14.25" customHeight="1">
      <c r="A41" s="69"/>
      <c r="B41" s="69"/>
      <c r="C41" s="69"/>
      <c r="D41" s="69"/>
      <c r="E41" s="69"/>
      <c r="F41" s="69"/>
      <c r="G41" s="69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1"/>
      <c r="V41" s="1"/>
      <c r="W41" s="1"/>
      <c r="X41" s="1"/>
      <c r="Y41" s="1"/>
      <c r="Z41" s="1"/>
    </row>
    <row r="42" ht="14.25" customHeight="1">
      <c r="A42" s="69"/>
      <c r="B42" s="63" t="s">
        <v>624</v>
      </c>
      <c r="C42" s="33"/>
      <c r="D42" s="34"/>
      <c r="E42" s="66" t="s">
        <v>631</v>
      </c>
      <c r="F42" s="57"/>
      <c r="G42" s="65">
        <f>COUNTIF('Identificación Casos'!C:C,"*Web Cliente*")
</f>
        <v>22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1"/>
      <c r="V42" s="1"/>
      <c r="W42" s="1"/>
      <c r="X42" s="1"/>
      <c r="Y42" s="1"/>
      <c r="Z42" s="1"/>
    </row>
    <row r="43" ht="14.25" customHeight="1">
      <c r="A43" s="69"/>
      <c r="B43" s="36"/>
      <c r="D43" s="37"/>
      <c r="E43" s="66" t="s">
        <v>651</v>
      </c>
      <c r="F43" s="57"/>
      <c r="G43" s="65">
        <f>COUNTIF('Identificación Casos'!C:C,"*Web Gestor*")
</f>
        <v>30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1"/>
      <c r="V43" s="1"/>
      <c r="W43" s="1"/>
      <c r="X43" s="1"/>
      <c r="Y43" s="1"/>
      <c r="Z43" s="1"/>
    </row>
    <row r="44" ht="14.25" customHeight="1">
      <c r="A44" s="46"/>
      <c r="B44" s="36"/>
      <c r="D44" s="37"/>
      <c r="E44" s="66" t="s">
        <v>662</v>
      </c>
      <c r="F44" s="57"/>
      <c r="G44" s="65">
        <f>COUNTIF('Identificación Casos'!C:C,"*Web Administrador*")
</f>
        <v>19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1"/>
      <c r="V44" s="1"/>
      <c r="W44" s="1"/>
      <c r="X44" s="1"/>
      <c r="Y44" s="1"/>
      <c r="Z44" s="1"/>
    </row>
    <row r="45" ht="14.25" customHeight="1">
      <c r="A45" s="46"/>
      <c r="B45" s="38"/>
      <c r="C45" s="39"/>
      <c r="D45" s="40"/>
      <c r="E45" s="66" t="s">
        <v>663</v>
      </c>
      <c r="F45" s="57"/>
      <c r="G45" s="65">
        <f>COUNTIF('Identificación Casos'!C:C,"*App Técnico*")
</f>
        <v>36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1"/>
      <c r="V45" s="1"/>
      <c r="W45" s="1"/>
      <c r="X45" s="1"/>
      <c r="Y45" s="1"/>
      <c r="Z45" s="1"/>
    </row>
    <row r="46" ht="14.25" customHeight="1">
      <c r="A46" s="69"/>
      <c r="B46" s="46"/>
      <c r="C46" s="46"/>
      <c r="D46" s="46"/>
      <c r="E46" s="83"/>
      <c r="F46" s="67" t="s">
        <v>532</v>
      </c>
      <c r="G46" s="67">
        <f>SUM(G42:G45)</f>
        <v>107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1"/>
      <c r="V46" s="1"/>
      <c r="W46" s="1"/>
      <c r="X46" s="1"/>
      <c r="Y46" s="1"/>
      <c r="Z46" s="1"/>
    </row>
    <row r="47" ht="14.25" customHeight="1">
      <c r="A47" s="69"/>
      <c r="B47" s="69"/>
      <c r="C47" s="69"/>
      <c r="D47" s="69"/>
      <c r="E47" s="69"/>
      <c r="F47" s="69"/>
      <c r="G47" s="69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1"/>
      <c r="V47" s="1"/>
      <c r="W47" s="1"/>
      <c r="X47" s="1"/>
      <c r="Y47" s="1"/>
      <c r="Z47" s="1"/>
    </row>
    <row r="48" ht="14.25" customHeight="1">
      <c r="A48" s="70"/>
      <c r="B48" s="70"/>
      <c r="C48" s="70"/>
      <c r="D48" s="70"/>
      <c r="E48" s="70"/>
      <c r="F48" s="70"/>
      <c r="G48" s="70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1"/>
      <c r="V48" s="1"/>
      <c r="W48" s="1"/>
      <c r="X48" s="1"/>
      <c r="Y48" s="1"/>
      <c r="Z48" s="1"/>
    </row>
    <row r="49" ht="14.25" customHeight="1">
      <c r="A49" s="70"/>
      <c r="B49" s="70"/>
      <c r="C49" s="70"/>
      <c r="D49" s="70"/>
      <c r="E49" s="70"/>
      <c r="F49" s="70"/>
      <c r="G49" s="70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1"/>
      <c r="V49" s="1"/>
      <c r="W49" s="1"/>
      <c r="X49" s="1"/>
      <c r="Y49" s="1"/>
      <c r="Z49" s="1"/>
    </row>
    <row r="50" ht="14.25" customHeight="1">
      <c r="A50" s="70"/>
      <c r="B50" s="70"/>
      <c r="C50" s="70"/>
      <c r="D50" s="70"/>
      <c r="E50" s="70"/>
      <c r="F50" s="70"/>
      <c r="G50" s="70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1"/>
      <c r="V50" s="1"/>
      <c r="W50" s="1"/>
      <c r="X50" s="1"/>
      <c r="Y50" s="1"/>
      <c r="Z50" s="1"/>
    </row>
    <row r="51" ht="14.25" customHeight="1">
      <c r="A51" s="70"/>
      <c r="B51" s="70"/>
      <c r="C51" s="70"/>
      <c r="D51" s="70"/>
      <c r="E51" s="70"/>
      <c r="F51" s="70"/>
      <c r="G51" s="70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1"/>
      <c r="V51" s="1"/>
      <c r="W51" s="1"/>
      <c r="X51" s="1"/>
      <c r="Y51" s="1"/>
      <c r="Z51" s="1"/>
    </row>
    <row r="52" ht="14.25" customHeight="1">
      <c r="A52" s="70"/>
      <c r="B52" s="70"/>
      <c r="C52" s="70"/>
      <c r="D52" s="70"/>
      <c r="E52" s="70"/>
      <c r="F52" s="70"/>
      <c r="G52" s="70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1"/>
      <c r="V52" s="1"/>
      <c r="W52" s="1"/>
      <c r="X52" s="1"/>
      <c r="Y52" s="1"/>
      <c r="Z52" s="1"/>
    </row>
    <row r="53" ht="14.25" customHeight="1">
      <c r="A53" s="70"/>
      <c r="B53" s="70"/>
      <c r="C53" s="70"/>
      <c r="D53" s="70"/>
      <c r="E53" s="70"/>
      <c r="F53" s="70"/>
      <c r="G53" s="70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1"/>
      <c r="V53" s="1"/>
      <c r="W53" s="1"/>
      <c r="X53" s="1"/>
      <c r="Y53" s="1"/>
      <c r="Z53" s="1"/>
    </row>
    <row r="54" ht="14.25" customHeight="1">
      <c r="A54" s="70"/>
      <c r="B54" s="70"/>
      <c r="C54" s="70"/>
      <c r="D54" s="70"/>
      <c r="E54" s="70"/>
      <c r="F54" s="70"/>
      <c r="G54" s="70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1"/>
      <c r="V54" s="1"/>
      <c r="W54" s="1"/>
      <c r="X54" s="1"/>
      <c r="Y54" s="1"/>
      <c r="Z54" s="1"/>
    </row>
    <row r="55" ht="14.25" customHeight="1">
      <c r="A55" s="70"/>
      <c r="B55" s="70"/>
      <c r="C55" s="70"/>
      <c r="D55" s="70"/>
      <c r="E55" s="70"/>
      <c r="F55" s="70"/>
      <c r="G55" s="70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1"/>
      <c r="V55" s="1"/>
      <c r="W55" s="1"/>
      <c r="X55" s="1"/>
      <c r="Y55" s="1"/>
      <c r="Z55" s="1"/>
    </row>
    <row r="56" ht="14.25" customHeight="1">
      <c r="A56" s="70"/>
      <c r="B56" s="70"/>
      <c r="C56" s="70"/>
      <c r="D56" s="70"/>
      <c r="E56" s="70"/>
      <c r="F56" s="70"/>
      <c r="G56" s="70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1"/>
      <c r="V56" s="1"/>
      <c r="W56" s="1"/>
      <c r="X56" s="1"/>
      <c r="Y56" s="1"/>
      <c r="Z56" s="1"/>
    </row>
    <row r="57" ht="14.25" customHeight="1">
      <c r="A57" s="70"/>
      <c r="B57" s="70"/>
      <c r="C57" s="70"/>
      <c r="D57" s="70"/>
      <c r="E57" s="70"/>
      <c r="F57" s="70"/>
      <c r="G57" s="70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1"/>
      <c r="V57" s="1"/>
      <c r="W57" s="1"/>
      <c r="X57" s="1"/>
      <c r="Y57" s="1"/>
      <c r="Z57" s="1"/>
    </row>
    <row r="58" ht="14.25" customHeight="1">
      <c r="A58" s="70"/>
      <c r="B58" s="70"/>
      <c r="C58" s="70"/>
      <c r="D58" s="70"/>
      <c r="E58" s="70"/>
      <c r="F58" s="70"/>
      <c r="G58" s="70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1"/>
      <c r="V58" s="1"/>
      <c r="W58" s="1"/>
      <c r="X58" s="1"/>
      <c r="Y58" s="1"/>
      <c r="Z58" s="1"/>
    </row>
    <row r="59" ht="14.25" customHeight="1">
      <c r="A59" s="72"/>
      <c r="B59" s="72"/>
      <c r="C59" s="72"/>
      <c r="D59" s="72"/>
      <c r="E59" s="72"/>
      <c r="F59" s="72"/>
      <c r="G59" s="72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1"/>
      <c r="V59" s="1"/>
      <c r="W59" s="1"/>
      <c r="X59" s="1"/>
      <c r="Y59" s="1"/>
      <c r="Z59" s="1"/>
    </row>
    <row r="60" ht="14.25" customHeight="1">
      <c r="A60" s="72"/>
      <c r="B60" s="72"/>
      <c r="C60" s="72"/>
      <c r="D60" s="72"/>
      <c r="E60" s="72"/>
      <c r="F60" s="72"/>
      <c r="G60" s="72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1"/>
      <c r="V60" s="1"/>
      <c r="W60" s="1"/>
      <c r="X60" s="1"/>
      <c r="Y60" s="1"/>
      <c r="Z60" s="1"/>
    </row>
    <row r="61" ht="14.25" customHeight="1">
      <c r="A61" s="72"/>
      <c r="B61" s="72"/>
      <c r="C61" s="72"/>
      <c r="D61" s="72"/>
      <c r="E61" s="72"/>
      <c r="F61" s="72"/>
      <c r="G61" s="72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1"/>
      <c r="V61" s="1"/>
      <c r="W61" s="1"/>
      <c r="X61" s="1"/>
      <c r="Y61" s="1"/>
      <c r="Z61" s="1"/>
    </row>
    <row r="62" ht="14.25" customHeight="1">
      <c r="A62" s="72"/>
      <c r="B62" s="72"/>
      <c r="C62" s="72"/>
      <c r="D62" s="72"/>
      <c r="E62" s="72"/>
      <c r="F62" s="72"/>
      <c r="G62" s="72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3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3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3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3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3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1"/>
      <c r="V69" s="1"/>
      <c r="W69" s="1"/>
      <c r="X69" s="1"/>
      <c r="Y69" s="1"/>
      <c r="Z69" s="1"/>
    </row>
    <row r="70" ht="14.25" customHeight="1">
      <c r="A70" s="46"/>
      <c r="B70" s="63" t="s">
        <v>664</v>
      </c>
      <c r="C70" s="33"/>
      <c r="D70" s="34"/>
      <c r="E70" s="64" t="s">
        <v>481</v>
      </c>
      <c r="F70" s="57"/>
      <c r="G70" s="65">
        <f>COUNTIF('Identificación Casos'!J:J,"*Jose Espinoza*")
</f>
        <v>0</v>
      </c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1"/>
      <c r="V70" s="1"/>
      <c r="W70" s="1"/>
      <c r="X70" s="1"/>
      <c r="Y70" s="1"/>
      <c r="Z70" s="1"/>
    </row>
    <row r="71" ht="14.25" customHeight="1">
      <c r="A71" s="46"/>
      <c r="B71" s="36"/>
      <c r="D71" s="37"/>
      <c r="E71" s="66" t="s">
        <v>503</v>
      </c>
      <c r="F71" s="57"/>
      <c r="G71" s="65">
        <f>COUNTIF('Identificación Casos'!J:J,"*Jose Herrera*")
</f>
        <v>0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1"/>
      <c r="V71" s="1"/>
      <c r="W71" s="1"/>
      <c r="X71" s="1"/>
      <c r="Y71" s="1"/>
      <c r="Z71" s="1"/>
    </row>
    <row r="72" ht="14.25" customHeight="1">
      <c r="A72" s="46"/>
      <c r="B72" s="38"/>
      <c r="C72" s="39"/>
      <c r="D72" s="40"/>
      <c r="E72" s="64" t="s">
        <v>519</v>
      </c>
      <c r="F72" s="57"/>
      <c r="G72" s="65">
        <f>COUNTIF('Identificación Casos'!J:J,"*Sebastian Valdes*")
</f>
        <v>0</v>
      </c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1"/>
      <c r="V72" s="1"/>
      <c r="W72" s="1"/>
      <c r="X72" s="1"/>
      <c r="Y72" s="1"/>
      <c r="Z72" s="1"/>
    </row>
    <row r="73" ht="14.25" customHeight="1">
      <c r="A73" s="46"/>
      <c r="B73" s="83"/>
      <c r="C73" s="83"/>
      <c r="D73" s="83"/>
      <c r="E73" s="83"/>
      <c r="F73" s="67" t="s">
        <v>665</v>
      </c>
      <c r="G73" s="67">
        <f>SUM(G70:G72)</f>
        <v>0</v>
      </c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1"/>
      <c r="V73" s="1"/>
      <c r="W73" s="1"/>
      <c r="X73" s="1"/>
      <c r="Y73" s="1"/>
      <c r="Z73" s="1"/>
    </row>
    <row r="74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1"/>
      <c r="V74" s="1"/>
      <c r="W74" s="1"/>
      <c r="X74" s="1"/>
      <c r="Y74" s="1"/>
      <c r="Z74" s="1"/>
    </row>
    <row r="75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1"/>
      <c r="V75" s="1"/>
      <c r="W75" s="1"/>
      <c r="X75" s="1"/>
      <c r="Y75" s="1"/>
      <c r="Z75" s="1"/>
    </row>
    <row r="7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1"/>
      <c r="V76" s="1"/>
      <c r="W76" s="1"/>
      <c r="X76" s="1"/>
      <c r="Y76" s="1"/>
      <c r="Z76" s="1"/>
    </row>
    <row r="77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1"/>
      <c r="V77" s="1"/>
      <c r="W77" s="1"/>
      <c r="X77" s="1"/>
      <c r="Y77" s="1"/>
      <c r="Z77" s="1"/>
    </row>
    <row r="78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1"/>
      <c r="V78" s="1"/>
      <c r="W78" s="1"/>
      <c r="X78" s="1"/>
      <c r="Y78" s="1"/>
      <c r="Z78" s="1"/>
    </row>
    <row r="79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1"/>
      <c r="V79" s="1"/>
      <c r="W79" s="1"/>
      <c r="X79" s="1"/>
      <c r="Y79" s="1"/>
      <c r="Z79" s="1"/>
    </row>
    <row r="80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1"/>
      <c r="V80" s="1"/>
      <c r="W80" s="1"/>
      <c r="X80" s="1"/>
      <c r="Y80" s="1"/>
      <c r="Z80" s="1"/>
    </row>
    <row r="81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1"/>
      <c r="V81" s="1"/>
      <c r="W81" s="1"/>
      <c r="X81" s="1"/>
      <c r="Y81" s="1"/>
      <c r="Z81" s="1"/>
    </row>
    <row r="82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1"/>
      <c r="V82" s="1"/>
      <c r="W82" s="1"/>
      <c r="X82" s="1"/>
      <c r="Y82" s="1"/>
      <c r="Z82" s="1"/>
    </row>
    <row r="83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1"/>
      <c r="V83" s="1"/>
      <c r="W83" s="1"/>
      <c r="X83" s="1"/>
      <c r="Y83" s="1"/>
      <c r="Z83" s="1"/>
    </row>
    <row r="84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18">
    <mergeCell ref="B6:B10"/>
    <mergeCell ref="B13:C13"/>
    <mergeCell ref="B16:C17"/>
    <mergeCell ref="D16:D17"/>
    <mergeCell ref="M20:N21"/>
    <mergeCell ref="B23:D25"/>
    <mergeCell ref="E23:F23"/>
    <mergeCell ref="E24:F24"/>
    <mergeCell ref="E25:F25"/>
    <mergeCell ref="E42:F42"/>
    <mergeCell ref="E43:F43"/>
    <mergeCell ref="E44:F44"/>
    <mergeCell ref="E45:F45"/>
    <mergeCell ref="B42:D45"/>
    <mergeCell ref="E70:F70"/>
    <mergeCell ref="E71:F71"/>
    <mergeCell ref="E72:F72"/>
    <mergeCell ref="B70:D7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3" t="s">
        <v>0</v>
      </c>
      <c r="B1" s="3" t="s">
        <v>1</v>
      </c>
      <c r="C1" s="6" t="s">
        <v>2</v>
      </c>
      <c r="D1" s="6" t="s">
        <v>3</v>
      </c>
    </row>
    <row r="2" ht="14.25" customHeight="1">
      <c r="A2" s="3" t="s">
        <v>4</v>
      </c>
      <c r="B2" s="3" t="s">
        <v>5</v>
      </c>
      <c r="C2" s="6" t="s">
        <v>6</v>
      </c>
      <c r="D2" s="6" t="s">
        <v>7</v>
      </c>
    </row>
    <row r="3" ht="14.25" customHeight="1">
      <c r="A3" s="3" t="s">
        <v>8</v>
      </c>
      <c r="B3" s="3" t="s">
        <v>9</v>
      </c>
      <c r="C3" s="6" t="s">
        <v>10</v>
      </c>
    </row>
    <row r="4" ht="14.25" customHeight="1">
      <c r="A4" s="3" t="s">
        <v>12</v>
      </c>
      <c r="B4" s="3" t="s">
        <v>14</v>
      </c>
    </row>
    <row r="5" ht="14.25" customHeight="1">
      <c r="A5" s="3" t="s">
        <v>15</v>
      </c>
      <c r="B5" s="3" t="s">
        <v>16</v>
      </c>
    </row>
    <row r="6" ht="14.25" customHeight="1">
      <c r="A6" s="3" t="s">
        <v>17</v>
      </c>
    </row>
    <row r="7" ht="14.25" customHeight="1">
      <c r="A7" s="3" t="s">
        <v>18</v>
      </c>
    </row>
    <row r="8" ht="14.25" customHeight="1">
      <c r="A8" s="3" t="s">
        <v>19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
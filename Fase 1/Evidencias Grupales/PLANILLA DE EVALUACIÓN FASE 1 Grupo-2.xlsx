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ff842c535f0bd6/Personal/DUOC completo/Capstone 2026-2/"/>
    </mc:Choice>
  </mc:AlternateContent>
  <xr:revisionPtr revIDLastSave="0" documentId="8_{C32203A1-AEF8-4950-8D0C-C42ECE830A33}" xr6:coauthVersionLast="47" xr6:coauthVersionMax="47" xr10:uidLastSave="{00000000-0000-0000-0000-000000000000}"/>
  <bookViews>
    <workbookView xWindow="-110" yWindow="-110" windowWidth="19420" windowHeight="11500" xr2:uid="{EFBC8804-0A28-477D-9896-6C7470F810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1" l="1"/>
  <c r="E16" i="1" s="1"/>
  <c r="F16" i="1" s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<sst xmlns="http://schemas.openxmlformats.org/spreadsheetml/2006/main" count="19" uniqueCount="19">
  <si>
    <t>#Item</t>
  </si>
  <si>
    <t>INDICADOR DE EVALUACIÓN</t>
  </si>
  <si>
    <t>PONDERAC.</t>
  </si>
  <si>
    <t>Ptje obtenido</t>
  </si>
  <si>
    <t>Pondera</t>
  </si>
  <si>
    <t>Nota</t>
  </si>
  <si>
    <t>Describe brevemente en qué consiste el Proyecto APT, justificando su relevancia para el campo laboral de su carrera.</t>
  </si>
  <si>
    <t>Relaciona el Proyecto APT con las competencias del perfil de egreso de su Plan de Estudio.</t>
  </si>
  <si>
    <t>Relaciona el Proyecto APT con sus intereses profesionales. *</t>
  </si>
  <si>
    <t>Argumenta por qué el proyecto es factible de realizarse en el marco de la asignatura.</t>
  </si>
  <si>
    <t>Formula objetivos claros, concisos y coherentes con la disciplina y la situación a abordar.</t>
  </si>
  <si>
    <t>Propone una metodología de trabajo que permite alcanzar los objetivos propuestos y es pertinente con los requerimientos disciplinares.</t>
  </si>
  <si>
    <t>Establece un plan de trabajo para su proyecto APT considerando los recursos, duración, facilitadores y obstaculizadores en el desarrollo de las actividades.</t>
  </si>
  <si>
    <t xml:space="preserve">Determina evidencias, justificando cómo estas dan cuenta del logro de las actividades del Proyecto </t>
  </si>
  <si>
    <t>Utiliza reglas de redacción, ortografía (literal, puntual, acentual) y las normas para citas y referencias.</t>
  </si>
  <si>
    <r>
      <rPr>
        <sz val="11"/>
        <color theme="1"/>
        <rFont val="Inherit"/>
      </rPr>
      <t>Cumple completando el contenido del informe de presentación del proyecto de acuerdo a la plantilla entregada. </t>
    </r>
    <r>
      <rPr>
        <sz val="11"/>
        <color rgb="FF000000"/>
        <rFont val="Inherit"/>
      </rPr>
      <t> </t>
    </r>
  </si>
  <si>
    <t>Expone el tema utilizando un lenguaje técnico disciplinar al presentar la propuesta y responde evidenciando un manejo de la información.*</t>
  </si>
  <si>
    <r>
      <rPr>
        <sz val="11"/>
        <color theme="1"/>
        <rFont val="Inherit"/>
      </rPr>
      <t>Desarrolla un plan de trabajo que permita el logro de los objetivos propuestos del proyecto de acuerdo a los tiempos para su desarrollo</t>
    </r>
    <r>
      <rPr>
        <sz val="11"/>
        <color rgb="FF000000"/>
        <rFont val="Inherit"/>
      </rPr>
      <t>.</t>
    </r>
  </si>
  <si>
    <t>Colaboración y trabajo en equipo.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</si>
</sst>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11"/>
      <color rgb="FF000000"/>
      <name val="Inherit"/>
    </font>
    <font>
      <sz val="11"/>
      <color theme="1"/>
      <name val="Inherit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3" fillId="2" borderId="6" xfId="0" applyFont="1" applyFill="1" applyBorder="1" applyAlignment="1">
      <alignment horizontal="justify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9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3" fillId="3" borderId="10" xfId="0" applyFont="1" applyFill="1" applyBorder="1" applyAlignment="1">
      <alignment horizontal="justify" vertical="center" wrapText="1"/>
    </xf>
    <xf numFmtId="9" fontId="3" fillId="0" borderId="11" xfId="0" applyNumberFormat="1" applyFont="1" applyBorder="1" applyAlignment="1">
      <alignment horizontal="center" vertical="center" wrapText="1"/>
    </xf>
    <xf numFmtId="9" fontId="0" fillId="0" borderId="11" xfId="0" applyNumberFormat="1" applyBorder="1"/>
    <xf numFmtId="0" fontId="0" fillId="0" borderId="12" xfId="0" applyBorder="1"/>
    <xf numFmtId="0" fontId="3" fillId="4" borderId="10" xfId="0" applyFont="1" applyFill="1" applyBorder="1" applyAlignment="1">
      <alignment horizontal="justify" vertical="center" wrapText="1"/>
    </xf>
    <xf numFmtId="0" fontId="3" fillId="5" borderId="10" xfId="0" applyFont="1" applyFill="1" applyBorder="1" applyAlignment="1">
      <alignment horizontal="justify" vertical="center" wrapText="1"/>
    </xf>
    <xf numFmtId="9" fontId="4" fillId="0" borderId="11" xfId="0" applyNumberFormat="1" applyFont="1" applyBorder="1" applyAlignment="1">
      <alignment horizontal="center" vertical="center" wrapText="1"/>
    </xf>
    <xf numFmtId="0" fontId="0" fillId="0" borderId="13" xfId="0" applyBorder="1"/>
    <xf numFmtId="0" fontId="4" fillId="5" borderId="14" xfId="0" applyFont="1" applyFill="1" applyBorder="1" applyAlignment="1">
      <alignment vertical="center" wrapText="1"/>
    </xf>
    <xf numFmtId="9" fontId="4" fillId="0" borderId="15" xfId="0" applyNumberFormat="1" applyFont="1" applyBorder="1" applyAlignment="1">
      <alignment horizontal="center" vertical="center" wrapText="1"/>
    </xf>
    <xf numFmtId="9" fontId="0" fillId="0" borderId="15" xfId="0" applyNumberFormat="1" applyBorder="1"/>
    <xf numFmtId="0" fontId="0" fillId="0" borderId="16" xfId="0" applyBorder="1"/>
    <xf numFmtId="0" fontId="0" fillId="0" borderId="7" xfId="0" applyBorder="1"/>
    <xf numFmtId="164" fontId="1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B21B-E699-43A4-9E45-098CFDF3EBB9}">
  <dimension ref="A1:F16"/>
  <sheetViews>
    <sheetView tabSelected="1" workbookViewId="0">
      <selection activeCell="D18" sqref="D18"/>
    </sheetView>
  </sheetViews>
  <sheetFormatPr baseColWidth="10" defaultRowHeight="14.5"/>
  <cols>
    <col min="1" max="1" width="5.453125" bestFit="1" customWidth="1"/>
    <col min="2" max="2" width="121.6328125" customWidth="1"/>
    <col min="3" max="3" width="11" customWidth="1"/>
    <col min="4" max="4" width="8.26953125" customWidth="1"/>
    <col min="5" max="5" width="7.7265625" bestFit="1" customWidth="1"/>
    <col min="6" max="6" width="6.6328125" customWidth="1"/>
    <col min="7" max="7" width="5.7265625" customWidth="1"/>
  </cols>
  <sheetData>
    <row r="1" spans="1:6" ht="15" thickBot="1"/>
    <row r="2" spans="1:6" ht="29.5" thickBot="1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</row>
    <row r="3" spans="1:6">
      <c r="A3" s="7">
        <v>1</v>
      </c>
      <c r="B3" s="8" t="s">
        <v>6</v>
      </c>
      <c r="C3" s="9">
        <v>0.1</v>
      </c>
      <c r="D3" s="10">
        <v>0.9</v>
      </c>
      <c r="E3" s="10">
        <f>C3*D3</f>
        <v>9.0000000000000011E-2</v>
      </c>
      <c r="F3" s="11"/>
    </row>
    <row r="4" spans="1:6">
      <c r="A4" s="12">
        <v>2</v>
      </c>
      <c r="B4" s="13" t="s">
        <v>7</v>
      </c>
      <c r="C4" s="14">
        <v>0.05</v>
      </c>
      <c r="D4" s="15">
        <v>0.8</v>
      </c>
      <c r="E4" s="15">
        <f t="shared" ref="E4:E15" si="0">C4*D4</f>
        <v>4.0000000000000008E-2</v>
      </c>
      <c r="F4" s="16"/>
    </row>
    <row r="5" spans="1:6">
      <c r="A5" s="12">
        <v>3</v>
      </c>
      <c r="B5" s="13" t="s">
        <v>8</v>
      </c>
      <c r="C5" s="14">
        <v>0.1</v>
      </c>
      <c r="D5" s="15">
        <v>0.8</v>
      </c>
      <c r="E5" s="15">
        <f t="shared" si="0"/>
        <v>8.0000000000000016E-2</v>
      </c>
      <c r="F5" s="16"/>
    </row>
    <row r="6" spans="1:6">
      <c r="A6" s="12">
        <v>4</v>
      </c>
      <c r="B6" s="13" t="s">
        <v>9</v>
      </c>
      <c r="C6" s="14">
        <v>0.05</v>
      </c>
      <c r="D6" s="15">
        <v>0.8</v>
      </c>
      <c r="E6" s="15">
        <f t="shared" si="0"/>
        <v>4.0000000000000008E-2</v>
      </c>
      <c r="F6" s="16"/>
    </row>
    <row r="7" spans="1:6">
      <c r="A7" s="12">
        <v>5</v>
      </c>
      <c r="B7" s="17" t="s">
        <v>10</v>
      </c>
      <c r="C7" s="14">
        <v>0.05</v>
      </c>
      <c r="D7" s="15">
        <v>0.9</v>
      </c>
      <c r="E7" s="15">
        <f t="shared" si="0"/>
        <v>4.5000000000000005E-2</v>
      </c>
      <c r="F7" s="16"/>
    </row>
    <row r="8" spans="1:6">
      <c r="A8" s="12">
        <v>6</v>
      </c>
      <c r="B8" s="17" t="s">
        <v>11</v>
      </c>
      <c r="C8" s="14">
        <v>0.1</v>
      </c>
      <c r="D8" s="15">
        <v>0.8</v>
      </c>
      <c r="E8" s="15">
        <f t="shared" si="0"/>
        <v>8.0000000000000016E-2</v>
      </c>
      <c r="F8" s="16"/>
    </row>
    <row r="9" spans="1:6" ht="28">
      <c r="A9" s="12">
        <v>7</v>
      </c>
      <c r="B9" s="17" t="s">
        <v>12</v>
      </c>
      <c r="C9" s="14">
        <v>0.1</v>
      </c>
      <c r="D9" s="15">
        <v>0.9</v>
      </c>
      <c r="E9" s="15">
        <f t="shared" si="0"/>
        <v>9.0000000000000011E-2</v>
      </c>
      <c r="F9" s="16"/>
    </row>
    <row r="10" spans="1:6">
      <c r="A10" s="12">
        <v>8</v>
      </c>
      <c r="B10" s="18" t="s">
        <v>13</v>
      </c>
      <c r="C10" s="14">
        <v>0.05</v>
      </c>
      <c r="D10" s="15">
        <v>0.8</v>
      </c>
      <c r="E10" s="15">
        <f t="shared" si="0"/>
        <v>4.0000000000000008E-2</v>
      </c>
      <c r="F10" s="16"/>
    </row>
    <row r="11" spans="1:6">
      <c r="A11" s="12">
        <v>9</v>
      </c>
      <c r="B11" s="18" t="s">
        <v>14</v>
      </c>
      <c r="C11" s="14">
        <v>0.05</v>
      </c>
      <c r="D11" s="15">
        <v>1</v>
      </c>
      <c r="E11" s="15">
        <f t="shared" si="0"/>
        <v>0.05</v>
      </c>
      <c r="F11" s="16"/>
    </row>
    <row r="12" spans="1:6">
      <c r="A12" s="12">
        <v>10</v>
      </c>
      <c r="B12" s="18" t="s">
        <v>15</v>
      </c>
      <c r="C12" s="14">
        <v>0.05</v>
      </c>
      <c r="D12" s="15">
        <v>1</v>
      </c>
      <c r="E12" s="15">
        <f t="shared" si="0"/>
        <v>0.05</v>
      </c>
      <c r="F12" s="16"/>
    </row>
    <row r="13" spans="1:6" ht="28">
      <c r="A13" s="12">
        <v>11</v>
      </c>
      <c r="B13" s="18" t="s">
        <v>16</v>
      </c>
      <c r="C13" s="14">
        <v>0.1</v>
      </c>
      <c r="D13" s="15">
        <v>0.9</v>
      </c>
      <c r="E13" s="15">
        <f t="shared" si="0"/>
        <v>9.0000000000000011E-2</v>
      </c>
      <c r="F13" s="16"/>
    </row>
    <row r="14" spans="1:6">
      <c r="A14" s="12">
        <v>12</v>
      </c>
      <c r="B14" s="17" t="s">
        <v>17</v>
      </c>
      <c r="C14" s="19">
        <v>0.1</v>
      </c>
      <c r="D14" s="15">
        <v>0.9</v>
      </c>
      <c r="E14" s="15">
        <f t="shared" si="0"/>
        <v>9.0000000000000011E-2</v>
      </c>
      <c r="F14" s="16"/>
    </row>
    <row r="15" spans="1:6" ht="15" thickBot="1">
      <c r="A15" s="20">
        <v>13</v>
      </c>
      <c r="B15" s="21" t="s">
        <v>18</v>
      </c>
      <c r="C15" s="22">
        <v>0.1</v>
      </c>
      <c r="D15" s="23">
        <v>1</v>
      </c>
      <c r="E15" s="23">
        <f t="shared" si="0"/>
        <v>0.1</v>
      </c>
      <c r="F15" s="24"/>
    </row>
    <row r="16" spans="1:6">
      <c r="C16" s="25"/>
      <c r="D16" s="25"/>
      <c r="E16" s="10">
        <f>SUM(E3:E15)</f>
        <v>0.88500000000000001</v>
      </c>
      <c r="F16" s="26">
        <f>7*E16</f>
        <v>6.1950000000000003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2e4dd7b-9cf4-47b9-9dfe-cde2b0bd7fe1}" enabled="1" method="Privileged" siteId="{a7cee371-aac8-4e5f-86e7-feeeef44de6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Herrera Francesconi</dc:creator>
  <cp:lastModifiedBy>Gonzalo Herrera Francesconi</cp:lastModifiedBy>
  <dcterms:created xsi:type="dcterms:W3CDTF">2026-09-12T21:09:24Z</dcterms:created>
  <dcterms:modified xsi:type="dcterms:W3CDTF">2026-09-12T21:11:21Z</dcterms:modified>
</cp:coreProperties>
</file>